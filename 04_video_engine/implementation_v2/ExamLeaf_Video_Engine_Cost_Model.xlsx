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f0aff521d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41f8fa3ccbb44a3"/>
    <x:sheet xmlns:r="http://schemas.openxmlformats.org/officeDocument/2006/relationships" name="Per Video" sheetId="2" r:id="R2f4c2d4c96784306"/>
    <x:sheet xmlns:r="http://schemas.openxmlformats.org/officeDocument/2006/relationships" name="Volume Model" sheetId="3" r:id="Re4448890046d4a61"/>
    <x:sheet xmlns:r="http://schemas.openxmlformats.org/officeDocument/2006/relationships" name="Decision" sheetId="4" r:id="R061f5fedac374f8c"/>
    <x:sheet xmlns:r="http://schemas.openxmlformats.org/officeDocument/2006/relationships" name="Measured Proof" sheetId="5" r:id="Rddd72ffce7bb46ed"/>
    <x:sheet xmlns:r="http://schemas.openxmlformats.org/officeDocument/2006/relationships" name="Skill Backlog" sheetId="6" r:id="Rb4ce19610fa44688"/>
    <x:sheet xmlns:r="http://schemas.openxmlformats.org/officeDocument/2006/relationships" name="Public Directory" sheetId="7" r:id="Raa25de8708934918"/>
  </x:sheets>
</x:workbook>
</file>

<file path=xl/comments1.xml><?xml version="1.0" encoding="utf-8"?>
<x:comments xmlns:x="http://schemas.openxmlformats.org/spreadsheetml/2006/main">
  <x:authors>
    <x:author>tc={4868361B-D862-4401-B456-560B82242861}</x:author>
    <x:author>tc={4FFA3A7F-6B80-4E63-9816-D8C4AD9ED044}</x:author>
    <x:author>tc={15F10F11-730A-44F4-BEF6-CA0E908283FB}</x:author>
    <x:author>tc={A1A50E7A-911D-4717-A928-313E02691F48}</x:author>
    <x:author>tc={DBD3C7C5-9DC7-4944-B160-5A2D9F391916}</x:author>
    <x:author>tc={088E6E3A-E1C4-4959-9703-775888952338}</x:author>
    <x:author>tc={64D77FE6-E89C-44F8-9E68-F2C2D04FF42A}</x:author>
    <x:author>tc={98667486-5731-4424-804F-4004D013B844}</x:author>
    <x:author>tc={B96AAE66-10B0-4B5C-A998-EEF16F8F386D}</x:author>
    <x:author>tc={110BD0CA-E764-4DFB-8072-141A71E49C76}</x:author>
    <x:author>tc={F9753584-C768-4459-8F06-5D6B4E252E9D}</x:author>
    <x:author>tc={9212B0C0-2359-4B6B-91D2-1C4F3142047B}</x:author>
    <x:author>tc={ECE2F367-7D98-48CA-98A0-975F6440B194}</x:author>
    <x:author>tc={0F6E6692-D612-4D3E-929A-5D6FE0F1769F}</x:author>
    <x:author>tc={79E406F8-2399-4074-B808-C24282BEEA73}</x:author>
    <x:author>tc={7DED12BA-2B08-4534-BF6C-72241B94FF52}</x:author>
    <x:author>tc={A01BCF09-D018-41B3-8388-A7C8C8556006}</x:author>
    <x:author>tc={7C9809F1-859F-4626-A46B-A68B262E75AE}</x:author>
    <x:author>tc={4A42EBE7-689E-4BF6-9F74-881FA4FD2BC0}</x:author>
    <x:author>tc={600C0DF3-BC4F-4589-915B-63AE41312CDC}</x:author>
    <x:author>tc={7486540C-E8A3-4BC0-8524-A211F8187D25}</x:author>
    <x:author>tc={9A7F598A-EFAA-4B76-992A-DA93CB74AF79}</x:author>
    <x:author>tc={FD0D05F7-1A7C-48C2-A683-AF713FBBABFA}</x:author>
    <x:author>tc={E2D74F43-462A-45D7-B904-4C7D9978FCE5}</x:author>
    <x:author>tc={1E786265-DF76-4871-A726-23E4F197EBC4}</x:author>
    <x:author>tc={0B5BD23C-2139-4D00-BC6C-E620BE766FDF}</x:author>
    <x:author>tc={8C3796ED-4E5C-4A07-8DDD-419361B10D96}</x:author>
    <x:author>tc={789A8262-E070-4713-A593-DC73EE8B60D6}</x:author>
    <x:author>tc={39E12DE6-BB5F-4908-B3F1-66B02F6B924B}</x:author>
    <x:author>tc={69C544DC-C75F-4A10-B871-28E66E1FA89C}</x:author>
    <x:author>tc={548C33EF-CC4C-4DDB-B420-C6CDCAA43D69}</x:author>
    <x:author>tc={55504EDB-82B7-4B70-8457-F2C3FDB8D81E}</x:author>
    <x:author>tc={FB7DDFA9-F886-42F0-88AC-A17930031C4D}</x:author>
    <x:author>tc={3ED3DDFE-9045-475E-A855-6FDCC7F1F758}</x:author>
    <x:author>tc={F9C122F5-EF39-4C49-9957-955D0BCBE948}</x:author>
    <x:author>tc={FD8DBB55-F1E1-4C90-A756-B08D335ECAD2}</x:author>
    <x:author>tc={6FF67447-E3C3-44B8-AB87-8B9DC1FEBD10}</x:author>
    <x:author>tc={FCB1385A-0B03-499C-9034-CFF237DCBC0C}</x:author>
    <x:author>tc={0CC60054-E6EE-426A-B32C-15D42708C933}</x:author>
    <x:author>tc={AF461A9C-DFC5-462A-B648-7328A4AFC5CC}</x:author>
    <x:author>tc={5408598D-F09A-4738-BFE3-A5BE056AF590}</x:author>
    <x:author>tc={BD2D02BF-53F2-47FD-8606-E39F20D061FF}</x:author>
    <x:author>tc={B9CE2711-C327-4BD1-B5DB-5E2AF6FFA6C2}</x:author>
    <x:author>tc={CF3E60EB-1986-428B-8660-15E303C6B3CD}</x:author>
    <x:author>tc={52005624-A10C-490D-8CD1-C15C62F9BF5D}</x:author>
    <x:author>tc={E2CE9139-BCC3-4E60-8626-F68BE6F83596}</x:author>
    <x:author>tc={1C9F0B99-B252-4892-B2A5-7D8A14B4300E}</x:author>
    <x:author>tc={8E676844-084A-4939-9494-DD6E8534D69C}</x:author>
    <x:author>tc={FDB00F61-BF5F-44C1-93CE-01C77ED0BDC4}</x:author>
    <x:author>tc={562E4356-5599-434B-8F19-531A9A6B4F3E}</x:author>
    <x:author>tc={645F18F7-3F4B-44EB-A2B1-86B33F4934F0}</x:author>
    <x:author>tc={1BD8961C-C175-424A-B1B2-79605F28D2DA}</x:author>
    <x:author>tc={29A8E57B-7DB6-4159-B67E-2DE40D79E0AE}</x:author>
    <x:author>tc={109EE5A7-2EA3-472B-8387-ABA1BDB0C62F}</x:author>
    <x:author>tc={81D7B5B7-0860-478D-A7AB-635C1B464D6E}</x:author>
    <x:author>tc={F5ED17D6-1177-46A4-9CA7-DD438DBDF84E}</x:author>
    <x:author>tc={1CC967B8-59D8-4E27-BDB1-7638C1377D3D}</x:author>
    <x:author>tc={5E30F9C3-E149-4386-A365-1EE31B0CAC43}</x:author>
    <x:author>tc={004CF76C-F707-4058-B5FA-5DC78C77242E}</x:author>
    <x:author>tc={1CE57CA9-BF22-4F2C-84FD-DF3C25E43101}</x:author>
    <x:author>tc={851EE29E-9A9D-40DF-9840-0584C003C9CA}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assumptions and official source links are supplied in the source column.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Workload assumption | ExamLeaf planning assumption; not a quote or benchmark. Replace with measured workload.</x:t>
        </x:r>
      </x:text>
    </x:comment>
    <x:comment ref="B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Workload assumption | ExamLeaf planning assumption; not a quote or benchmark. Replace with measured workload.</x:t>
        </x:r>
      </x:text>
    </x:comment>
    <x:comment ref="B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API tariff | https://platform.claude.com/docs/en/about-claude/pricing</x:t>
        </x:r>
      </x:text>
    </x:comment>
    <x:comment ref="B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API tariff | https://platform.claude.com/docs/en/about-claude/pricing</x:t>
        </x:r>
      </x:text>
    </x:comment>
    <x:comment ref="B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Workload assumption | ExamLeaf planning assumption; not a quote or benchmark. Replace with measured workload.</x:t>
        </x:r>
      </x:text>
    </x:comment>
    <x:comment ref="B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Workload assumption | ExamLeaf planning assumption; not a quote or benchmark. Replace with measured workload.</x:t>
        </x:r>
      </x:text>
    </x:comment>
    <x:comment ref="B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API tariff | https://platform.claude.com/docs/en/about-claude/pricing</x:t>
        </x:r>
      </x:text>
    </x:comment>
    <x:comment ref="B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API tariff | https://platform.claude.com/docs/en/about-claude/pricing</x:t>
        </x:r>
      </x:text>
    </x:comment>
    <x:comment ref="B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Workload assumption | ExamLeaf planning assumption; not a quote or benchmark. Replace with measured workload.</x:t>
        </x:r>
      </x:text>
    </x:comment>
    <x:comment ref="B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Workload assumption | ExamLeaf planning assumption; not a quote or benchmark. Replace with measured workload.</x:t>
        </x:r>
      </x:text>
    </x:comment>
    <x:comment ref="B1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API tariff | https://platform.claude.com/docs/en/about-claude/pricing</x:t>
        </x:r>
      </x:text>
    </x:comment>
    <x:comment ref="B1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API tariff | https://platform.claude.com/docs/en/about-claude/pricing</x:t>
        </x:r>
      </x:text>
    </x:comment>
    <x:comment ref="B1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2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2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2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API tariff | https://elevenlabs.io/pricing/api</x:t>
        </x:r>
      </x:text>
    </x:comment>
    <x:comment ref="B2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Runway illustrative route | https://docs.dev.runwayml.com/guides/pricing/ | Gemini Omni Flash listed rate; not Higgsfield quote; model features and surcharges vary</x:t>
        </x:r>
      </x:text>
    </x:comment>
    <x:comment ref="B2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2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2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allowance | ExamLeaf planning assumption; not a quote or benchmark. Replace with measured workload. Zero is allowed; generation is not compulsory.</x:t>
        </x:r>
      </x:text>
    </x:comment>
    <x:comment ref="B2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2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2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labour rate | ExamLeaf planning assumption; not a quote or benchmark. Replace with measured workload.</x:t>
        </x:r>
      </x:text>
    </x:comment>
    <x:comment ref="B3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labour rate | ExamLeaf planning assumption; not a quote or benchmark. Replace with measured workload.</x:t>
        </x:r>
      </x:text>
    </x:comment>
    <x:comment ref="B3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labour rate | ExamLeaf planning assumption; not a quote or benchmark. Replace with measured workload.</x:t>
        </x:r>
      </x:text>
    </x:comment>
    <x:comment ref="B3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Unquoted compute assumption | ExamLeaf planning assumption; not a quote or benchmark. Replace with measured workload.</x:t>
        </x:r>
      </x:text>
    </x:comment>
    <x:comment ref="B3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Unbenchmarked assumption | ExamLeaf planning assumption; not a quote or benchmark. Replace with measured workload.</x:t>
        </x:r>
      </x:text>
    </x:comment>
    <x:comment ref="B3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Unbenchmarked assumption | ExamLeaf planning assumption; not a quote or benchmark. Replace with measured workload.</x:t>
        </x:r>
      </x:text>
    </x:comment>
    <x:comment ref="B35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Capacity assumption | ExamLeaf planning assumption; not a quote or benchmark. Replace with measured workload.</x:t>
        </x:r>
      </x:text>
    </x:comment>
    <x:comment ref="B36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conditional licence | https://www.remotion.dev/docs/license/pricing</x:t>
        </x:r>
      </x:text>
    </x:comment>
    <x:comment ref="B37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conditional licence | https://www.remotion.dev/docs/license/pricing</x:t>
        </x:r>
      </x:text>
    </x:comment>
    <x:comment ref="B3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Unconfirmed accounting assumption | Confirm contract definition; finished lesson may have multiple billed renders.</x:t>
        </x:r>
      </x:text>
    </x:comment>
    <x:comment ref="B39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40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41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4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4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44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Same one-month project period for 1/100/1000 comparison; change monthly overhead allocation for longer programmes.</x:t>
        </x:r>
      </x:text>
    </x:comment>
    <x:comment ref="B45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46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47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48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49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50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51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52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5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54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Storage/tools/orchestration and modest maintenance allowance; no viewer delivery or full engineering team.</x:t>
        </x:r>
      </x:text>
    </x:comment>
    <x:comment ref="B55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Storage/tools/orchestration and modest maintenance allowance; no viewer delivery or full engineering team.</x:t>
        </x:r>
      </x:text>
    </x:comment>
    <x:comment ref="B56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Higher administration/maintenance allowance; GPU usage is charged separately above, not an always-on fleet.</x:t>
        </x:r>
      </x:text>
    </x:comment>
    <x:comment ref="B57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setup budget | Initial integration/templates only; not quotation or complete curriculum production.</x:t>
        </x:r>
      </x:text>
    </x:comment>
    <x:comment ref="B58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setup budget | Initial engine/templates only; actual authoring and specialist asset requirements may exceed this.</x:t>
        </x:r>
      </x:text>
    </x:comment>
    <x:comment ref="B59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setup budget | Serving/integration/templates only; no owned GPU purchase included.</x:t>
        </x:r>
      </x:text>
    </x:comment>
    <x:comment ref="B60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Unbenchmarked cloud allowance | ExamLeaf planning assumption; not a quote or benchmark. Replace with measured workload.</x:t>
        </x:r>
      </x:text>
    </x:comment>
    <x:comment ref="B61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Unbenchmarked cloud allowance | ExamLeaf planning assumption; not a quote or benchmark. Replace with measured workload.</x:t>
        </x:r>
      </x:text>
    </x:comment>
    <x:comment ref="B62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Unbenchmarked cloud allowance | ExamLeaf planning assumption; not a quote or benchmark. Replace with measured workload.</x:t>
        </x:r>
      </x:text>
    </x:comment>
    <x:comment ref="B63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64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65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ExamLeaf planning assumption; not a quote or benchmark. Replace with measured workload.</x:t>
        </x:r>
      </x:text>
    </x:comment>
    <x:comment ref="B66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| Working assets; audience streaming/egress and long-term retention excluded.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&quot;-&quot;"/>
    <x:numFmt numFmtId="201" formatCode="$#,##0.00;[Red]($#,##0.00);&quot;-&quot;"/>
    <x:numFmt numFmtId="202" formatCode="0.0;[Red](0.0);&quot;-&quot;"/>
  </x:numFmts>
  <x:fonts count="9">
    <x:font>
      <x:sz val="11"/>
      <x:name val="Carlito"/>
    </x:font>
    <x:font>
      <x:sz val="10"/>
      <x:color rgb="FF14213D"/>
      <x:name val="Aptos"/>
    </x:font>
    <x:font>
      <x:b/>
      <x:sz val="17"/>
      <x:color rgb="FFFFFFFF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b/>
      <x:sz val="10"/>
      <x:color rgb="FF000000"/>
      <x:name val="Aptos"/>
    </x:font>
    <x:font>
      <x:sz val="10"/>
      <x:color rgb="FF000000"/>
      <x:name val="Aptos"/>
    </x:font>
    <x:font>
      <x:b/>
      <x:sz val="10"/>
      <x:color rgb="FF008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087986"/>
      </x:patternFill>
    </x:fill>
    <x:fill>
      <x:patternFill patternType="solid">
        <x:fgColor rgb="FFE6F1F3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  <x:xf numFmtId="201" fontId="6" fillId="4" borderId="0" xfId="0" applyNumberFormat="1" applyFont="1" applyFill="1" applyBorder="1" applyAlignment="1">
      <x:alignment wrapText="1"/>
    </x:xf>
    <x:xf numFmtId="201" fontId="6" fillId="4" borderId="1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1" fontId="7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7" fillId="4" borderId="0" xfId="0" applyNumberFormat="1" applyFont="1" applyFill="1" applyBorder="1" applyAlignment="1">
      <x:alignment wrapText="1"/>
    </x:xf>
    <x:xf numFmtId="201" fontId="7" fillId="4" borderId="1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50a71e57c49f2" /><Relationship Type="http://schemas.openxmlformats.org/officeDocument/2006/relationships/theme" Target="/xl/theme/theme1.xml" Id="R0416ab4978984763" /><Relationship Type="http://schemas.openxmlformats.org/officeDocument/2006/relationships/sharedStrings" Target="/xl/sharedStrings.xml" Id="R960b522d513947d5" /><Relationship Type="http://schemas.openxmlformats.org/officeDocument/2006/relationships/worksheet" Target="/xl/worksheets/sheet1.xml" Id="R141f8fa3ccbb44a3" /><Relationship Type="http://schemas.openxmlformats.org/officeDocument/2006/relationships/worksheet" Target="/xl/worksheets/sheet2.xml" Id="R2f4c2d4c96784306" /><Relationship Type="http://schemas.openxmlformats.org/officeDocument/2006/relationships/worksheet" Target="/xl/worksheets/sheet3.xml" Id="Re4448890046d4a61" /><Relationship Type="http://schemas.openxmlformats.org/officeDocument/2006/relationships/worksheet" Target="/xl/worksheets/sheet4.xml" Id="R061f5fedac374f8c" /><Relationship Type="http://schemas.openxmlformats.org/officeDocument/2006/relationships/worksheet" Target="/xl/worksheets/sheet5.xml" Id="Rddd72ffce7bb46ed" /><Relationship Type="http://schemas.openxmlformats.org/officeDocument/2006/relationships/worksheet" Target="/xl/worksheets/sheet6.xml" Id="Rb4ce19610fa44688" /><Relationship Type="http://schemas.openxmlformats.org/officeDocument/2006/relationships/worksheet" Target="/xl/worksheets/sheet7.xml" Id="Raa25de8708934918" /><Relationship Type="http://schemas.microsoft.com/office/2017/10/relationships/person" Target="/xl/persons/person.xml" Id="Ra5509fd3d6a24b8f" /></Relationships>
</file>

<file path=xl/persons/person.xml><?xml version="1.0" encoding="utf-8"?>
<xltc:personList xmlns:xltc="http://schemas.microsoft.com/office/spreadsheetml/2018/threadedcomments">
  <xltc:person displayName="ExamLeaf Research" id="{2CAAB60D-2045-4C84-8F8B-FD493BA953E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10-13T15:35:08.198" personId="{2CAAB60D-2045-4C84-8F8B-FD493BA953E8}" id="{4868361B-D862-4401-B456-560B82242861}">
    <xltc:text>Planning assumptions and official source links are supplied in the source column.</xltc:text>
  </xltc:threadedComment>
  <xltc:threadedComment ref="B6" dT="2026-10-13T15:36:39.125" personId="{2CAAB60D-2045-4C84-8F8B-FD493BA953E8}" id="{52D91D62-843C-4124-97D8-40C2C6D3D4E5}">
    <xltc:text>Production assumption | User target ~10 minutes</xltc:text>
  </xltc:threadedComment>
  <xltc:threadedComment ref="B7" dT="2026-10-13T15:36:39.125" personId="{2CAAB60D-2045-4C84-8F8B-FD493BA953E8}" id="{4FFA3A7F-6B80-4E63-9816-D8C4AD9ED044}">
    <xltc:text>Workload assumption | ExamLeaf planning assumption; not a quote or benchmark. Replace with measured workload.</xltc:text>
  </xltc:threadedComment>
  <xltc:threadedComment ref="B8" dT="2026-10-13T15:36:39.125" personId="{2CAAB60D-2045-4C84-8F8B-FD493BA953E8}" id="{15F10F11-730A-44F4-BEF6-CA0E908283FB}">
    <xltc:text>Workload assumption | ExamLeaf planning assumption; not a quote or benchmark. Replace with measured workload.</xltc:text>
  </xltc:threadedComment>
  <xltc:threadedComment ref="B9" dT="2026-10-13T15:36:39.125" personId="{2CAAB60D-2045-4C84-8F8B-FD493BA953E8}" id="{A1A50E7A-911D-4717-A928-313E02691F48}">
    <xltc:text>Published API tariff | https://platform.claude.com/docs/en/about-claude/pricing</xltc:text>
  </xltc:threadedComment>
  <xltc:threadedComment ref="B10" dT="2026-10-13T15:36:39.125" personId="{2CAAB60D-2045-4C84-8F8B-FD493BA953E8}" id="{DBD3C7C5-9DC7-4944-B160-5A2D9F391916}">
    <xltc:text>Published API tariff | https://platform.claude.com/docs/en/about-claude/pricing</xltc:text>
  </xltc:threadedComment>
  <xltc:threadedComment ref="B11" dT="2026-10-13T15:36:39.125" personId="{2CAAB60D-2045-4C84-8F8B-FD493BA953E8}" id="{088E6E3A-E1C4-4959-9703-775888952338}">
    <xltc:text>Workload assumption | ExamLeaf planning assumption; not a quote or benchmark. Replace with measured workload.</xltc:text>
  </xltc:threadedComment>
  <xltc:threadedComment ref="B12" dT="2026-10-13T15:36:39.125" personId="{2CAAB60D-2045-4C84-8F8B-FD493BA953E8}" id="{64D77FE6-E89C-44F8-9E68-F2C2D04FF42A}">
    <xltc:text>Workload assumption | ExamLeaf planning assumption; not a quote or benchmark. Replace with measured workload.</xltc:text>
  </xltc:threadedComment>
  <xltc:threadedComment ref="B13" dT="2026-10-13T15:36:39.125" personId="{2CAAB60D-2045-4C84-8F8B-FD493BA953E8}" id="{98667486-5731-4424-804F-4004D013B844}">
    <xltc:text>Published API tariff | https://platform.claude.com/docs/en/about-claude/pricing</xltc:text>
  </xltc:threadedComment>
  <xltc:threadedComment ref="B14" dT="2026-10-13T15:36:39.125" personId="{2CAAB60D-2045-4C84-8F8B-FD493BA953E8}" id="{B96AAE66-10B0-4B5C-A998-EEF16F8F386D}">
    <xltc:text>Published API tariff | https://platform.claude.com/docs/en/about-claude/pricing</xltc:text>
  </xltc:threadedComment>
  <xltc:threadedComment ref="B15" dT="2026-10-13T15:36:39.125" personId="{2CAAB60D-2045-4C84-8F8B-FD493BA953E8}" id="{110BD0CA-E764-4DFB-8072-141A71E49C76}">
    <xltc:text>Workload assumption | ExamLeaf planning assumption; not a quote or benchmark. Replace with measured workload.</xltc:text>
  </xltc:threadedComment>
  <xltc:threadedComment ref="B16" dT="2026-10-13T15:36:39.125" personId="{2CAAB60D-2045-4C84-8F8B-FD493BA953E8}" id="{F9753584-C768-4459-8F06-5D6B4E252E9D}">
    <xltc:text>Workload assumption | ExamLeaf planning assumption; not a quote or benchmark. Replace with measured workload.</xltc:text>
  </xltc:threadedComment>
  <xltc:threadedComment ref="B17" dT="2026-10-13T15:36:39.125" personId="{2CAAB60D-2045-4C84-8F8B-FD493BA953E8}" id="{9212B0C0-2359-4B6B-91D2-1C4F3142047B}">
    <xltc:text>Published API tariff | https://platform.claude.com/docs/en/about-claude/pricing</xltc:text>
  </xltc:threadedComment>
  <xltc:threadedComment ref="B18" dT="2026-10-13T15:36:39.125" personId="{2CAAB60D-2045-4C84-8F8B-FD493BA953E8}" id="{ECE2F367-7D98-48CA-98A0-975F6440B194}">
    <xltc:text>Published API tariff | https://platform.claude.com/docs/en/about-claude/pricing</xltc:text>
  </xltc:threadedComment>
  <xltc:threadedComment ref="B19" dT="2026-10-13T15:36:39.126" personId="{2CAAB60D-2045-4C84-8F8B-FD493BA953E8}" id="{0F6E6692-D612-4D3E-929A-5D6FE0F1769F}">
    <xltc:text>Assumption | ExamLeaf planning assumption; not a quote or benchmark. Replace with measured workload.</xltc:text>
  </xltc:threadedComment>
  <xltc:threadedComment ref="B20" dT="2026-10-13T15:36:39.126" personId="{2CAAB60D-2045-4C84-8F8B-FD493BA953E8}" id="{79E406F8-2399-4074-B808-C24282BEEA73}">
    <xltc:text>Assumption | ExamLeaf planning assumption; not a quote or benchmark. Replace with measured workload.</xltc:text>
  </xltc:threadedComment>
  <xltc:threadedComment ref="B21" dT="2026-10-13T15:36:39.126" personId="{2CAAB60D-2045-4C84-8F8B-FD493BA953E8}" id="{7DED12BA-2B08-4534-BF6C-72241B94FF52}">
    <xltc:text>Assumption | ExamLeaf planning assumption; not a quote or benchmark. Replace with measured workload.</xltc:text>
  </xltc:threadedComment>
  <xltc:threadedComment ref="B22" dT="2026-10-13T15:36:39.126" personId="{2CAAB60D-2045-4C84-8F8B-FD493BA953E8}" id="{A01BCF09-D018-41B3-8388-A7C8C8556006}">
    <xltc:text>Published API tariff | https://elevenlabs.io/pricing/api</xltc:text>
  </xltc:threadedComment>
  <xltc:threadedComment ref="B23" dT="2026-10-13T15:36:39.126" personId="{2CAAB60D-2045-4C84-8F8B-FD493BA953E8}" id="{7C9809F1-859F-4626-A46B-A68B262E75AE}">
    <xltc:text>Runway illustrative route | https://docs.dev.runwayml.com/guides/pricing/ | Gemini Omni Flash listed rate; not Higgsfield quote; model features and surcharges vary</xltc:text>
  </xltc:threadedComment>
  <xltc:threadedComment ref="B24" dT="2026-10-13T15:36:39.126" personId="{2CAAB60D-2045-4C84-8F8B-FD493BA953E8}" id="{4A42EBE7-689E-4BF6-9F74-881FA4FD2BC0}">
    <xltc:text>Assumption | ExamLeaf planning assumption; not a quote or benchmark. Replace with measured workload.</xltc:text>
  </xltc:threadedComment>
  <xltc:threadedComment ref="B25" dT="2026-10-13T15:36:39.126" personId="{2CAAB60D-2045-4C84-8F8B-FD493BA953E8}" id="{600C0DF3-BC4F-4589-915B-63AE41312CDC}">
    <xltc:text>Assumption | ExamLeaf planning assumption; not a quote or benchmark. Replace with measured workload.</xltc:text>
  </xltc:threadedComment>
  <xltc:threadedComment ref="B26" dT="2026-10-13T15:36:39.126" personId="{2CAAB60D-2045-4C84-8F8B-FD493BA953E8}" id="{7486540C-E8A3-4BC0-8524-A211F8187D25}">
    <xltc:text>Optional allowance | ExamLeaf planning assumption; not a quote or benchmark. Replace with measured workload. Zero is allowed; generation is not compulsory.</xltc:text>
  </xltc:threadedComment>
  <xltc:threadedComment ref="B27" dT="2026-10-13T15:36:39.126" personId="{2CAAB60D-2045-4C84-8F8B-FD493BA953E8}" id="{9A7F598A-EFAA-4B76-992A-DA93CB74AF79}">
    <xltc:text>Assumption | ExamLeaf planning assumption; not a quote or benchmark. Replace with measured workload.</xltc:text>
  </xltc:threadedComment>
  <xltc:threadedComment ref="B28" dT="2026-10-13T15:36:39.126" personId="{2CAAB60D-2045-4C84-8F8B-FD493BA953E8}" id="{FD0D05F7-1A7C-48C2-A683-AF713FBBABFA}">
    <xltc:text>Assumption | ExamLeaf planning assumption; not a quote or benchmark. Replace with measured workload.</xltc:text>
  </xltc:threadedComment>
  <xltc:threadedComment ref="B29" dT="2026-10-13T15:36:39.126" personId="{2CAAB60D-2045-4C84-8F8B-FD493BA953E8}" id="{E2D74F43-462A-45D7-B904-4C7D9978FCE5}">
    <xltc:text>Planning labour rate | ExamLeaf planning assumption; not a quote or benchmark. Replace with measured workload.</xltc:text>
  </xltc:threadedComment>
  <xltc:threadedComment ref="B30" dT="2026-10-13T15:36:39.126" personId="{2CAAB60D-2045-4C84-8F8B-FD493BA953E8}" id="{1E786265-DF76-4871-A726-23E4F197EBC4}">
    <xltc:text>Planning labour rate | ExamLeaf planning assumption; not a quote or benchmark. Replace with measured workload.</xltc:text>
  </xltc:threadedComment>
  <xltc:threadedComment ref="B31" dT="2026-10-13T15:36:39.126" personId="{2CAAB60D-2045-4C84-8F8B-FD493BA953E8}" id="{0B5BD23C-2139-4D00-BC6C-E620BE766FDF}">
    <xltc:text>Planning labour rate | ExamLeaf planning assumption; not a quote or benchmark. Replace with measured workload.</xltc:text>
  </xltc:threadedComment>
  <xltc:threadedComment ref="B32" dT="2026-10-13T15:36:39.126" personId="{2CAAB60D-2045-4C84-8F8B-FD493BA953E8}" id="{8C3796ED-4E5C-4A07-8DDD-419361B10D96}">
    <xltc:text>Unquoted compute assumption | ExamLeaf planning assumption; not a quote or benchmark. Replace with measured workload.</xltc:text>
  </xltc:threadedComment>
  <xltc:threadedComment ref="B33" dT="2026-10-13T15:36:39.126" personId="{2CAAB60D-2045-4C84-8F8B-FD493BA953E8}" id="{789A8262-E070-4713-A593-DC73EE8B60D6}">
    <xltc:text>Unbenchmarked assumption | ExamLeaf planning assumption; not a quote or benchmark. Replace with measured workload.</xltc:text>
  </xltc:threadedComment>
  <xltc:threadedComment ref="B34" dT="2026-10-13T15:36:39.126" personId="{2CAAB60D-2045-4C84-8F8B-FD493BA953E8}" id="{39E12DE6-BB5F-4908-B3F1-66B02F6B924B}">
    <xltc:text>Unbenchmarked assumption | ExamLeaf planning assumption; not a quote or benchmark. Replace with measured workload.</xltc:text>
  </xltc:threadedComment>
  <xltc:threadedComment ref="B35" dT="2026-10-13T15:36:39.126" personId="{2CAAB60D-2045-4C84-8F8B-FD493BA953E8}" id="{69C544DC-C75F-4A10-B871-28E66E1FA89C}">
    <xltc:text>Capacity assumption | ExamLeaf planning assumption; not a quote or benchmark. Replace with measured workload.</xltc:text>
  </xltc:threadedComment>
  <xltc:threadedComment ref="B36" dT="2026-10-13T15:36:39.126" personId="{2CAAB60D-2045-4C84-8F8B-FD493BA953E8}" id="{548C33EF-CC4C-4DDB-B420-C6CDCAA43D69}">
    <xltc:text>Published conditional licence | https://www.remotion.dev/docs/license/pricing</xltc:text>
  </xltc:threadedComment>
  <xltc:threadedComment ref="B37" dT="2026-10-13T15:36:39.126" personId="{2CAAB60D-2045-4C84-8F8B-FD493BA953E8}" id="{55504EDB-82B7-4B70-8457-F2C3FDB8D81E}">
    <xltc:text>Published conditional licence | https://www.remotion.dev/docs/license/pricing</xltc:text>
  </xltc:threadedComment>
  <xltc:threadedComment ref="B38" dT="2026-10-13T15:36:39.126" personId="{2CAAB60D-2045-4C84-8F8B-FD493BA953E8}" id="{FB7DDFA9-F886-42F0-88AC-A17930031C4D}">
    <xltc:text>Unconfirmed accounting assumption | Confirm contract definition; finished lesson may have multiple billed renders.</xltc:text>
  </xltc:threadedComment>
  <xltc:threadedComment ref="B39" dT="2026-10-13T15:36:39.127" personId="{2CAAB60D-2045-4C84-8F8B-FD493BA953E8}" id="{3ED3DDFE-9045-475E-A855-6FDCC7F1F758}">
    <xltc:text>Assumption | ExamLeaf planning assumption; not a quote or benchmark. Replace with measured workload.</xltc:text>
  </xltc:threadedComment>
  <xltc:threadedComment ref="B40" dT="2026-10-13T15:36:39.127" personId="{2CAAB60D-2045-4C84-8F8B-FD493BA953E8}" id="{F9C122F5-EF39-4C49-9957-955D0BCBE948}">
    <xltc:text>Assumption | ExamLeaf planning assumption; not a quote or benchmark. Replace with measured workload.</xltc:text>
  </xltc:threadedComment>
  <xltc:threadedComment ref="B41" dT="2026-10-13T15:36:39.127" personId="{2CAAB60D-2045-4C84-8F8B-FD493BA953E8}" id="{FD8DBB55-F1E1-4C90-A756-B08D335ECAD2}">
    <xltc:text>Assumption | ExamLeaf planning assumption; not a quote or benchmark. Replace with measured workload.</xltc:text>
  </xltc:threadedComment>
  <xltc:threadedComment ref="B42" dT="2026-10-13T15:36:39.127" personId="{2CAAB60D-2045-4C84-8F8B-FD493BA953E8}" id="{6FF67447-E3C3-44B8-AB87-8B9DC1FEBD10}">
    <xltc:text>Assumption | ExamLeaf planning assumption; not a quote or benchmark. Replace with measured workload.</xltc:text>
  </xltc:threadedComment>
  <xltc:threadedComment ref="B43" dT="2026-10-13T15:36:39.127" personId="{2CAAB60D-2045-4C84-8F8B-FD493BA953E8}" id="{FCB1385A-0B03-499C-9034-CFF237DCBC0C}">
    <xltc:text>Assumption | ExamLeaf planning assumption; not a quote or benchmark. Replace with measured workload.</xltc:text>
  </xltc:threadedComment>
  <xltc:threadedComment ref="B44" dT="2026-10-13T15:36:39.127" personId="{2CAAB60D-2045-4C84-8F8B-FD493BA953E8}" id="{0CC60054-E6EE-426A-B32C-15D42708C933}">
    <xltc:text>Assumption | Same one-month project period for 1/100/1000 comparison; change monthly overhead allocation for longer programmes.</xltc:text>
  </xltc:threadedComment>
  <xltc:threadedComment ref="B45" dT="2026-10-13T15:36:39.127" personId="{2CAAB60D-2045-4C84-8F8B-FD493BA953E8}" id="{AF461A9C-DFC5-462A-B648-7328A4AFC5CC}">
    <xltc:text>Assumption | ExamLeaf planning assumption; not a quote or benchmark. Replace with measured workload.</xltc:text>
  </xltc:threadedComment>
  <xltc:threadedComment ref="B46" dT="2026-10-13T15:36:39.127" personId="{2CAAB60D-2045-4C84-8F8B-FD493BA953E8}" id="{5408598D-F09A-4738-BFE3-A5BE056AF590}">
    <xltc:text>Assumption | ExamLeaf planning assumption; not a quote or benchmark. Replace with measured workload.</xltc:text>
  </xltc:threadedComment>
  <xltc:threadedComment ref="B47" dT="2026-10-13T15:36:39.127" personId="{2CAAB60D-2045-4C84-8F8B-FD493BA953E8}" id="{BD2D02BF-53F2-47FD-8606-E39F20D061FF}">
    <xltc:text>Assumption | ExamLeaf planning assumption; not a quote or benchmark. Replace with measured workload.</xltc:text>
  </xltc:threadedComment>
  <xltc:threadedComment ref="B48" dT="2026-10-13T15:36:39.127" personId="{2CAAB60D-2045-4C84-8F8B-FD493BA953E8}" id="{B9CE2711-C327-4BD1-B5DB-5E2AF6FFA6C2}">
    <xltc:text>Assumption | ExamLeaf planning assumption; not a quote or benchmark. Replace with measured workload.</xltc:text>
  </xltc:threadedComment>
  <xltc:threadedComment ref="B49" dT="2026-10-13T15:36:39.127" personId="{2CAAB60D-2045-4C84-8F8B-FD493BA953E8}" id="{CF3E60EB-1986-428B-8660-15E303C6B3CD}">
    <xltc:text>Assumption | ExamLeaf planning assumption; not a quote or benchmark. Replace with measured workload.</xltc:text>
  </xltc:threadedComment>
  <xltc:threadedComment ref="B50" dT="2026-10-13T15:36:39.127" personId="{2CAAB60D-2045-4C84-8F8B-FD493BA953E8}" id="{52005624-A10C-490D-8CD1-C15C62F9BF5D}">
    <xltc:text>Assumption | ExamLeaf planning assumption; not a quote or benchmark. Replace with measured workload.</xltc:text>
  </xltc:threadedComment>
  <xltc:threadedComment ref="B51" dT="2026-10-13T15:36:39.127" personId="{2CAAB60D-2045-4C84-8F8B-FD493BA953E8}" id="{E2CE9139-BCC3-4E60-8626-F68BE6F83596}">
    <xltc:text>Assumption | ExamLeaf planning assumption; not a quote or benchmark. Replace with measured workload.</xltc:text>
  </xltc:threadedComment>
  <xltc:threadedComment ref="B52" dT="2026-10-13T15:36:39.127" personId="{2CAAB60D-2045-4C84-8F8B-FD493BA953E8}" id="{1C9F0B99-B252-4892-B2A5-7D8A14B4300E}">
    <xltc:text>Assumption | ExamLeaf planning assumption; not a quote or benchmark. Replace with measured workload.</xltc:text>
  </xltc:threadedComment>
  <xltc:threadedComment ref="B53" dT="2026-10-13T15:36:39.127" personId="{2CAAB60D-2045-4C84-8F8B-FD493BA953E8}" id="{8E676844-084A-4939-9494-DD6E8534D69C}">
    <xltc:text>Assumption | ExamLeaf planning assumption; not a quote or benchmark. Replace with measured workload.</xltc:text>
  </xltc:threadedComment>
  <xltc:threadedComment ref="B54" dT="2026-10-13T15:36:39.127" personId="{2CAAB60D-2045-4C84-8F8B-FD493BA953E8}" id="{FDB00F61-BF5F-44C1-93CE-01C77ED0BDC4}">
    <xltc:text>Assumption | Storage/tools/orchestration and modest maintenance allowance; no viewer delivery or full engineering team.</xltc:text>
  </xltc:threadedComment>
  <xltc:threadedComment ref="B55" dT="2026-10-13T15:36:39.127" personId="{2CAAB60D-2045-4C84-8F8B-FD493BA953E8}" id="{562E4356-5599-434B-8F19-531A9A6B4F3E}">
    <xltc:text>Assumption | Storage/tools/orchestration and modest maintenance allowance; no viewer delivery or full engineering team.</xltc:text>
  </xltc:threadedComment>
  <xltc:threadedComment ref="B56" dT="2026-10-13T15:36:39.127" personId="{2CAAB60D-2045-4C84-8F8B-FD493BA953E8}" id="{645F18F7-3F4B-44EB-A2B1-86B33F4934F0}">
    <xltc:text>Assumption | Higher administration/maintenance allowance; GPU usage is charged separately above, not an always-on fleet.</xltc:text>
  </xltc:threadedComment>
  <xltc:threadedComment ref="B57" dT="2026-10-13T15:36:39.127" personId="{2CAAB60D-2045-4C84-8F8B-FD493BA953E8}" id="{1BD8961C-C175-424A-B1B2-79605F28D2DA}">
    <xltc:text>Illustrative setup budget | Initial integration/templates only; not quotation or complete curriculum production.</xltc:text>
  </xltc:threadedComment>
  <xltc:threadedComment ref="B58" dT="2026-10-13T15:36:39.127" personId="{2CAAB60D-2045-4C84-8F8B-FD493BA953E8}" id="{29A8E57B-7DB6-4159-B67E-2DE40D79E0AE}">
    <xltc:text>Illustrative setup budget | Initial engine/templates only; actual authoring and specialist asset requirements may exceed this.</xltc:text>
  </xltc:threadedComment>
  <xltc:threadedComment ref="B59" dT="2026-10-13T15:36:39.127" personId="{2CAAB60D-2045-4C84-8F8B-FD493BA953E8}" id="{109EE5A7-2EA3-472B-8387-ABA1BDB0C62F}">
    <xltc:text>Illustrative setup budget | Serving/integration/templates only; no owned GPU purchase included.</xltc:text>
  </xltc:threadedComment>
  <xltc:threadedComment ref="B60" dT="2026-10-13T15:36:39.127" personId="{2CAAB60D-2045-4C84-8F8B-FD493BA953E8}" id="{81D7B5B7-0860-478D-A7AB-635C1B464D6E}">
    <xltc:text>Unbenchmarked cloud allowance | ExamLeaf planning assumption; not a quote or benchmark. Replace with measured workload.</xltc:text>
  </xltc:threadedComment>
  <xltc:threadedComment ref="B61" dT="2026-10-13T15:36:39.127" personId="{2CAAB60D-2045-4C84-8F8B-FD493BA953E8}" id="{F5ED17D6-1177-46A4-9CA7-DD438DBDF84E}">
    <xltc:text>Unbenchmarked cloud allowance | ExamLeaf planning assumption; not a quote or benchmark. Replace with measured workload.</xltc:text>
  </xltc:threadedComment>
  <xltc:threadedComment ref="B62" dT="2026-10-13T15:36:39.127" personId="{2CAAB60D-2045-4C84-8F8B-FD493BA953E8}" id="{1CC967B8-59D8-4E27-BDB1-7638C1377D3D}">
    <xltc:text>Unbenchmarked cloud allowance | ExamLeaf planning assumption; not a quote or benchmark. Replace with measured workload.</xltc:text>
  </xltc:threadedComment>
  <xltc:threadedComment ref="B63" dT="2026-10-13T15:36:39.127" personId="{2CAAB60D-2045-4C84-8F8B-FD493BA953E8}" id="{5E30F9C3-E149-4386-A365-1EE31B0CAC43}">
    <xltc:text>Assumption | ExamLeaf planning assumption; not a quote or benchmark. Replace with measured workload.</xltc:text>
  </xltc:threadedComment>
  <xltc:threadedComment ref="B64" dT="2026-10-13T15:36:39.127" personId="{2CAAB60D-2045-4C84-8F8B-FD493BA953E8}" id="{004CF76C-F707-4058-B5FA-5DC78C77242E}">
    <xltc:text>Assumption | ExamLeaf planning assumption; not a quote or benchmark. Replace with measured workload.</xltc:text>
  </xltc:threadedComment>
  <xltc:threadedComment ref="B65" dT="2026-10-13T15:36:39.127" personId="{2CAAB60D-2045-4C84-8F8B-FD493BA953E8}" id="{1CE57CA9-BF22-4F2C-84FD-DF3C25E43101}">
    <xltc:text>Assumption | ExamLeaf planning assumption; not a quote or benchmark. Replace with measured workload.</xltc:text>
  </xltc:threadedComment>
  <xltc:threadedComment ref="B66" dT="2026-10-13T15:36:39.127" personId="{2CAAB60D-2045-4C84-8F8B-FD493BA953E8}" id="{851EE29E-9A9D-40DF-9840-0584C003C9CA}">
    <xltc:text>Assumption | Working assets; audience streaming/egress and long-term retention excluded.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2e8e4c78ea74f81" /><Relationship Type="http://schemas.openxmlformats.org/officeDocument/2006/relationships/vmlDrawing" Target="/xl/drawings/vmldrawing.vml" Id="R30340f0d4e1e4d72" /><Relationship Type="http://schemas.microsoft.com/office/2017/10/relationships/threadedComment" Target="/xl/threadedcomments/threadedcomment.xml" Id="Rf15221e25014485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56" hidden="0" customWidth="1"/>
  </x:cols>
  <x:sheetData>
    <x:row r="1" ht="34" customHeight="1">
      <x:c r="A1" s="7" t="str">
        <x:v>EXAMLEAF | Video production economics</x:v>
      </x:c>
      <x:c r="B1" s="7"/>
      <x:c r="C1" s="7"/>
      <x:c r="D1" s="7"/>
      <x:c r="E1" s="7"/>
    </x:row>
    <x:row r="2" ht="24" customHeight="1">
      <x:c r="A2" s="4" t="str">
        <x:v>USD, before tax. Published tariffs are inputs; workloads, rates of regeneration, labour and setup budgets are assumptions. No Higgsfield whole-lesson quote is claimed.</x:v>
      </x:c>
      <x:c r="B2" s="4"/>
      <x:c r="C2" s="4"/>
      <x:c r="D2" s="4"/>
      <x:c r="E2" s="4"/>
    </x:row>
    <x:row r="3" ht="24" customHeight="1">
      <x:c r="A3" s="4"/>
      <x:c r="B3" s="4"/>
      <x:c r="C3" s="4"/>
      <x:c r="D3" s="4"/>
      <x:c r="E3" s="4"/>
    </x:row>
    <x:row r="4" ht="24" customHeight="1">
      <x:c r="A4" s="4"/>
      <x:c r="B4" s="4"/>
      <x:c r="C4" s="4"/>
      <x:c r="D4" s="4"/>
      <x:c r="E4" s="4"/>
    </x:row>
    <x:row r="5" ht="32" customHeight="1">
      <x:c r="A5" s="11" t="str">
        <x:v>Input</x:v>
      </x:c>
      <x:c r="B5" s="11" t="str">
        <x:v>Value</x:v>
      </x:c>
      <x:c r="C5" s="11" t="str">
        <x:v>Unit</x:v>
      </x:c>
      <x:c r="D5" s="11" t="str">
        <x:v>Evidence class</x:v>
      </x:c>
      <x:c r="E5" s="11" t="str">
        <x:v>Source / qualification</x:v>
      </x:c>
    </x:row>
    <x:row r="6" ht="46" customHeight="1">
      <x:c r="A6" s="4" t="str">
        <x:v>Lesson duration</x:v>
      </x:c>
      <x:c r="B6" s="16" t="n">
        <x:v>600</x:v>
      </x:c>
      <x:c r="C6" s="4" t="str">
        <x:v>seconds</x:v>
      </x:c>
      <x:c r="D6" s="4" t="str">
        <x:v>Production assumption</x:v>
      </x:c>
      <x:c r="E6" s="4" t="str">
        <x:v>User target ~10 minutes</x:v>
      </x:c>
    </x:row>
    <x:row r="7" ht="46" customHeight="1">
      <x:c r="A7" s="4" t="str">
        <x:v>Sonnet input</x:v>
      </x:c>
      <x:c r="B7" s="16" t="n">
        <x:v>120000</x:v>
      </x:c>
      <x:c r="C7" s="4" t="str">
        <x:v>tokens/video</x:v>
      </x:c>
      <x:c r="D7" s="4" t="str">
        <x:v>Workload assumption</x:v>
      </x:c>
      <x:c r="E7" s="4" t="str">
        <x:v>ExamLeaf planning assumption; not a quote or benchmark. Replace with measured workload.</x:v>
      </x:c>
    </x:row>
    <x:row r="8" ht="46" customHeight="1">
      <x:c r="A8" s="4" t="str">
        <x:v>Sonnet output</x:v>
      </x:c>
      <x:c r="B8" s="16" t="n">
        <x:v>25000</x:v>
      </x:c>
      <x:c r="C8" s="4" t="str">
        <x:v>tokens/video</x:v>
      </x:c>
      <x:c r="D8" s="4" t="str">
        <x:v>Workload assumption</x:v>
      </x:c>
      <x:c r="E8" s="4" t="str">
        <x:v>ExamLeaf planning assumption; not a quote or benchmark. Replace with measured workload.</x:v>
      </x:c>
    </x:row>
    <x:row r="9" ht="46" customHeight="1">
      <x:c r="A9" s="4" t="str">
        <x:v>Sonnet input tariff</x:v>
      </x:c>
      <x:c r="B9" s="16" t="n">
        <x:v>3</x:v>
      </x:c>
      <x:c r="C9" s="4" t="str">
        <x:v>USD/million tokens</x:v>
      </x:c>
      <x:c r="D9" s="4" t="str">
        <x:v>Published API tariff</x:v>
      </x:c>
      <x:c r="E9" s="4" t="str">
        <x:v>https://platform.claude.com/docs/en/about-claude/pricing</x:v>
      </x:c>
    </x:row>
    <x:row r="10" ht="46" customHeight="1">
      <x:c r="A10" s="4" t="str">
        <x:v>Sonnet output tariff</x:v>
      </x:c>
      <x:c r="B10" s="16" t="n">
        <x:v>15</x:v>
      </x:c>
      <x:c r="C10" s="4" t="str">
        <x:v>USD/million tokens</x:v>
      </x:c>
      <x:c r="D10" s="4" t="str">
        <x:v>Published API tariff</x:v>
      </x:c>
      <x:c r="E10" s="4" t="str">
        <x:v>https://platform.claude.com/docs/en/about-claude/pricing</x:v>
      </x:c>
    </x:row>
    <x:row r="11" ht="46" customHeight="1">
      <x:c r="A11" s="4" t="str">
        <x:v>Opus review input</x:v>
      </x:c>
      <x:c r="B11" s="16" t="n">
        <x:v>60000</x:v>
      </x:c>
      <x:c r="C11" s="4" t="str">
        <x:v>tokens/video</x:v>
      </x:c>
      <x:c r="D11" s="4" t="str">
        <x:v>Workload assumption</x:v>
      </x:c>
      <x:c r="E11" s="4" t="str">
        <x:v>ExamLeaf planning assumption; not a quote or benchmark. Replace with measured workload.</x:v>
      </x:c>
    </x:row>
    <x:row r="12" ht="46" customHeight="1">
      <x:c r="A12" s="4" t="str">
        <x:v>Opus review output</x:v>
      </x:c>
      <x:c r="B12" s="16" t="n">
        <x:v>10000</x:v>
      </x:c>
      <x:c r="C12" s="4" t="str">
        <x:v>tokens/video</x:v>
      </x:c>
      <x:c r="D12" s="4" t="str">
        <x:v>Workload assumption</x:v>
      </x:c>
      <x:c r="E12" s="4" t="str">
        <x:v>ExamLeaf planning assumption; not a quote or benchmark. Replace with measured workload.</x:v>
      </x:c>
    </x:row>
    <x:row r="13" ht="46" customHeight="1">
      <x:c r="A13" s="4" t="str">
        <x:v>Opus input tariff</x:v>
      </x:c>
      <x:c r="B13" s="16" t="n">
        <x:v>5</x:v>
      </x:c>
      <x:c r="C13" s="4" t="str">
        <x:v>USD/million tokens</x:v>
      </x:c>
      <x:c r="D13" s="4" t="str">
        <x:v>Published API tariff</x:v>
      </x:c>
      <x:c r="E13" s="4" t="str">
        <x:v>https://platform.claude.com/docs/en/about-claude/pricing</x:v>
      </x:c>
    </x:row>
    <x:row r="14" ht="46" customHeight="1">
      <x:c r="A14" s="4" t="str">
        <x:v>Opus output tariff</x:v>
      </x:c>
      <x:c r="B14" s="16" t="n">
        <x:v>25</x:v>
      </x:c>
      <x:c r="C14" s="4" t="str">
        <x:v>USD/million tokens</x:v>
      </x:c>
      <x:c r="D14" s="4" t="str">
        <x:v>Published API tariff</x:v>
      </x:c>
      <x:c r="E14" s="4" t="str">
        <x:v>https://platform.claude.com/docs/en/about-claude/pricing</x:v>
      </x:c>
    </x:row>
    <x:row r="15" ht="46" customHeight="1">
      <x:c r="A15" s="4" t="str">
        <x:v>Haiku input</x:v>
      </x:c>
      <x:c r="B15" s="16" t="n">
        <x:v>20000</x:v>
      </x:c>
      <x:c r="C15" s="4" t="str">
        <x:v>tokens/video</x:v>
      </x:c>
      <x:c r="D15" s="4" t="str">
        <x:v>Workload assumption</x:v>
      </x:c>
      <x:c r="E15" s="4" t="str">
        <x:v>ExamLeaf planning assumption; not a quote or benchmark. Replace with measured workload.</x:v>
      </x:c>
    </x:row>
    <x:row r="16" ht="46" customHeight="1">
      <x:c r="A16" s="4" t="str">
        <x:v>Haiku output</x:v>
      </x:c>
      <x:c r="B16" s="16" t="n">
        <x:v>3000</x:v>
      </x:c>
      <x:c r="C16" s="4" t="str">
        <x:v>tokens/video</x:v>
      </x:c>
      <x:c r="D16" s="4" t="str">
        <x:v>Workload assumption</x:v>
      </x:c>
      <x:c r="E16" s="4" t="str">
        <x:v>ExamLeaf planning assumption; not a quote or benchmark. Replace with measured workload.</x:v>
      </x:c>
    </x:row>
    <x:row r="17" ht="46" customHeight="1">
      <x:c r="A17" s="4" t="str">
        <x:v>Haiku input tariff</x:v>
      </x:c>
      <x:c r="B17" s="16" t="n">
        <x:v>1</x:v>
      </x:c>
      <x:c r="C17" s="4" t="str">
        <x:v>USD/million tokens</x:v>
      </x:c>
      <x:c r="D17" s="4" t="str">
        <x:v>Published API tariff</x:v>
      </x:c>
      <x:c r="E17" s="4" t="str">
        <x:v>https://platform.claude.com/docs/en/about-claude/pricing</x:v>
      </x:c>
    </x:row>
    <x:row r="18" ht="46" customHeight="1">
      <x:c r="A18" s="4" t="str">
        <x:v>Haiku output tariff</x:v>
      </x:c>
      <x:c r="B18" s="16" t="n">
        <x:v>5</x:v>
      </x:c>
      <x:c r="C18" s="4" t="str">
        <x:v>USD/million tokens</x:v>
      </x:c>
      <x:c r="D18" s="4" t="str">
        <x:v>Published API tariff</x:v>
      </x:c>
      <x:c r="E18" s="4" t="str">
        <x:v>https://platform.claude.com/docs/en/about-claude/pricing</x:v>
      </x:c>
    </x:row>
    <x:row r="19" ht="46" customHeight="1">
      <x:c r="A19" s="4" t="str">
        <x:v>LLM regeneration uplift</x:v>
      </x:c>
      <x:c r="B19" s="16" t="n">
        <x:v>0.3</x:v>
      </x:c>
      <x:c r="C19" s="4" t="str">
        <x:v>fraction</x:v>
      </x:c>
      <x:c r="D19" s="4" t="str">
        <x:v>Assumption</x:v>
      </x:c>
      <x:c r="E19" s="4" t="str">
        <x:v>ExamLeaf planning assumption; not a quote or benchmark. Replace with measured workload.</x:v>
      </x:c>
    </x:row>
    <x:row r="20" ht="46" customHeight="1">
      <x:c r="A20" s="4" t="str">
        <x:v>Narration characters</x:v>
      </x:c>
      <x:c r="B20" s="16" t="n">
        <x:v>8000</x:v>
      </x:c>
      <x:c r="C20" s="4" t="str">
        <x:v>characters/video</x:v>
      </x:c>
      <x:c r="D20" s="4" t="str">
        <x:v>Assumption</x:v>
      </x:c>
      <x:c r="E20" s="4" t="str">
        <x:v>ExamLeaf planning assumption; not a quote or benchmark. Replace with measured workload.</x:v>
      </x:c>
    </x:row>
    <x:row r="21" ht="46" customHeight="1">
      <x:c r="A21" s="4" t="str">
        <x:v>Narration regeneration multiplier</x:v>
      </x:c>
      <x:c r="B21" s="16" t="n">
        <x:v>1.2</x:v>
      </x:c>
      <x:c r="C21" s="4" t="str">
        <x:v>multiple</x:v>
      </x:c>
      <x:c r="D21" s="4" t="str">
        <x:v>Assumption</x:v>
      </x:c>
      <x:c r="E21" s="4" t="str">
        <x:v>ExamLeaf planning assumption; not a quote or benchmark. Replace with measured workload.</x:v>
      </x:c>
    </x:row>
    <x:row r="22" ht="46" customHeight="1">
      <x:c r="A22" s="4" t="str">
        <x:v>TTS tariff</x:v>
      </x:c>
      <x:c r="B22" s="16" t="n">
        <x:v>0.1</x:v>
      </x:c>
      <x:c r="C22" s="4" t="str">
        <x:v>USD/1,000 characters</x:v>
      </x:c>
      <x:c r="D22" s="4" t="str">
        <x:v>Published API tariff</x:v>
      </x:c>
      <x:c r="E22" s="4" t="str">
        <x:v>https://elevenlabs.io/pricing/api</x:v>
      </x:c>
    </x:row>
    <x:row r="23" ht="46" customHeight="1">
      <x:c r="A23" s="4" t="str">
        <x:v>Generated clip tariff</x:v>
      </x:c>
      <x:c r="B23" s="16" t="n">
        <x:v>0.1</x:v>
      </x:c>
      <x:c r="C23" s="4" t="str">
        <x:v>USD/second</x:v>
      </x:c>
      <x:c r="D23" s="4" t="str">
        <x:v>Runway illustrative route</x:v>
      </x:c>
      <x:c r="E23" s="4" t="str">
        <x:v>https://docs.dev.runwayml.com/guides/pricing/ | Gemini Omni Flash listed rate; not Higgsfield quote; model features and surcharges vary</x:v>
      </x:c>
    </x:row>
    <x:row r="24" ht="46" customHeight="1">
      <x:c r="A24" s="4" t="str">
        <x:v>AI-heavy generated seconds</x:v>
      </x:c>
      <x:c r="B24" s="16" t="n">
        <x:v>600</x:v>
      </x:c>
      <x:c r="C24" s="4" t="str">
        <x:v>seconds/video</x:v>
      </x:c>
      <x:c r="D24" s="4" t="str">
        <x:v>Assumption</x:v>
      </x:c>
      <x:c r="E24" s="4" t="str">
        <x:v>ExamLeaf planning assumption; not a quote or benchmark. Replace with measured workload.</x:v>
      </x:c>
    </x:row>
    <x:row r="25" ht="46" customHeight="1">
      <x:c r="A25" s="4" t="str">
        <x:v>AI-heavy clip attempt multiplier</x:v>
      </x:c>
      <x:c r="B25" s="16" t="n">
        <x:v>1.8</x:v>
      </x:c>
      <x:c r="C25" s="4" t="str">
        <x:v>multiple</x:v>
      </x:c>
      <x:c r="D25" s="4" t="str">
        <x:v>Assumption</x:v>
      </x:c>
      <x:c r="E25" s="4" t="str">
        <x:v>ExamLeaf planning assumption; not a quote or benchmark. Replace with measured workload.</x:v>
      </x:c>
    </x:row>
    <x:row r="26" ht="46" customHeight="1">
      <x:c r="A26" s="4" t="str">
        <x:v>Hybrid generated seconds</x:v>
      </x:c>
      <x:c r="B26" s="16" t="n">
        <x:v>20</x:v>
      </x:c>
      <x:c r="C26" s="4" t="str">
        <x:v>seconds/video</x:v>
      </x:c>
      <x:c r="D26" s="4" t="str">
        <x:v>Optional allowance</x:v>
      </x:c>
      <x:c r="E26" s="4" t="str">
        <x:v>ExamLeaf planning assumption; not a quote or benchmark. Replace with measured workload. Zero is allowed; generation is not compulsory.</x:v>
      </x:c>
    </x:row>
    <x:row r="27" ht="46" customHeight="1">
      <x:c r="A27" s="4" t="str">
        <x:v>Hybrid clip attempt multiplier</x:v>
      </x:c>
      <x:c r="B27" s="16" t="n">
        <x:v>2</x:v>
      </x:c>
      <x:c r="C27" s="4" t="str">
        <x:v>multiple</x:v>
      </x:c>
      <x:c r="D27" s="4" t="str">
        <x:v>Assumption</x:v>
      </x:c>
      <x:c r="E27" s="4" t="str">
        <x:v>ExamLeaf planning assumption; not a quote or benchmark. Replace with measured workload.</x:v>
      </x:c>
    </x:row>
    <x:row r="28" ht="46" customHeight="1">
      <x:c r="A28" s="4" t="str">
        <x:v>Generated still allowance</x:v>
      </x:c>
      <x:c r="B28" s="16" t="n">
        <x:v>0.2</x:v>
      </x:c>
      <x:c r="C28" s="4" t="str">
        <x:v>USD/video</x:v>
      </x:c>
      <x:c r="D28" s="4" t="str">
        <x:v>Assumption</x:v>
      </x:c>
      <x:c r="E28" s="4" t="str">
        <x:v>ExamLeaf planning assumption; not a quote or benchmark. Replace with measured workload.</x:v>
      </x:c>
    </x:row>
    <x:row r="29" ht="46" customHeight="1">
      <x:c r="A29" s="4" t="str">
        <x:v>Academic reviewer rate</x:v>
      </x:c>
      <x:c r="B29" s="16" t="n">
        <x:v>20</x:v>
      </x:c>
      <x:c r="C29" s="4" t="str">
        <x:v>USD/hour</x:v>
      </x:c>
      <x:c r="D29" s="4" t="str">
        <x:v>Planning labour rate</x:v>
      </x:c>
      <x:c r="E29" s="4" t="str">
        <x:v>ExamLeaf planning assumption; not a quote or benchmark. Replace with measured workload.</x:v>
      </x:c>
    </x:row>
    <x:row r="30" ht="46" customHeight="1">
      <x:c r="A30" s="4" t="str">
        <x:v>Production QA rate</x:v>
      </x:c>
      <x:c r="B30" s="16" t="n">
        <x:v>15</x:v>
      </x:c>
      <x:c r="C30" s="4" t="str">
        <x:v>USD/hour</x:v>
      </x:c>
      <x:c r="D30" s="4" t="str">
        <x:v>Planning labour rate</x:v>
      </x:c>
      <x:c r="E30" s="4" t="str">
        <x:v>ExamLeaf planning assumption; not a quote or benchmark. Replace with measured workload.</x:v>
      </x:c>
    </x:row>
    <x:row r="31" ht="46" customHeight="1">
      <x:c r="A31" s="4" t="str">
        <x:v>Repair/editor rate</x:v>
      </x:c>
      <x:c r="B31" s="16" t="n">
        <x:v>20</x:v>
      </x:c>
      <x:c r="C31" s="4" t="str">
        <x:v>USD/hour</x:v>
      </x:c>
      <x:c r="D31" s="4" t="str">
        <x:v>Planning labour rate</x:v>
      </x:c>
      <x:c r="E31" s="4" t="str">
        <x:v>ExamLeaf planning assumption; not a quote or benchmark. Replace with measured workload.</x:v>
      </x:c>
    </x:row>
    <x:row r="32" ht="46" customHeight="1">
      <x:c r="A32" s="4" t="str">
        <x:v>Self-hosted GPU rate</x:v>
      </x:c>
      <x:c r="B32" s="16" t="n">
        <x:v>1</x:v>
      </x:c>
      <x:c r="C32" s="4" t="str">
        <x:v>USD/worker-hour</x:v>
      </x:c>
      <x:c r="D32" s="4" t="str">
        <x:v>Unquoted compute assumption</x:v>
      </x:c>
      <x:c r="E32" s="4" t="str">
        <x:v>ExamLeaf planning assumption; not a quote or benchmark. Replace with measured workload.</x:v>
      </x:c>
    </x:row>
    <x:row r="33" ht="46" customHeight="1">
      <x:c r="A33" s="4" t="str">
        <x:v>Self-hosted model GPU time</x:v>
      </x:c>
      <x:c r="B33" s="16" t="n">
        <x:v>0.8</x:v>
      </x:c>
      <x:c r="C33" s="4" t="str">
        <x:v>worker-hour/video</x:v>
      </x:c>
      <x:c r="D33" s="4" t="str">
        <x:v>Unbenchmarked assumption</x:v>
      </x:c>
      <x:c r="E33" s="4" t="str">
        <x:v>ExamLeaf planning assumption; not a quote or benchmark. Replace with measured workload.</x:v>
      </x:c>
    </x:row>
    <x:row r="34" ht="46" customHeight="1">
      <x:c r="A34" s="4" t="str">
        <x:v>Self-hosted voice GPU time</x:v>
      </x:c>
      <x:c r="B34" s="16" t="n">
        <x:v>0.05</x:v>
      </x:c>
      <x:c r="C34" s="4" t="str">
        <x:v>worker-hour/video</x:v>
      </x:c>
      <x:c r="D34" s="4" t="str">
        <x:v>Unbenchmarked assumption</x:v>
      </x:c>
      <x:c r="E34" s="4" t="str">
        <x:v>ExamLeaf planning assumption; not a quote or benchmark. Replace with measured workload.</x:v>
      </x:c>
    </x:row>
    <x:row r="35" ht="46" customHeight="1">
      <x:c r="A35" s="4" t="str">
        <x:v>Hours per FTE-month</x:v>
      </x:c>
      <x:c r="B35" s="16" t="n">
        <x:v>160</x:v>
      </x:c>
      <x:c r="C35" s="4" t="str">
        <x:v>hours</x:v>
      </x:c>
      <x:c r="D35" s="4" t="str">
        <x:v>Capacity assumption</x:v>
      </x:c>
      <x:c r="E35" s="4" t="str">
        <x:v>ExamLeaf planning assumption; not a quote or benchmark. Replace with measured workload.</x:v>
      </x:c>
    </x:row>
    <x:row r="36" ht="46" customHeight="1">
      <x:c r="A36" s="4" t="str">
        <x:v>Optional paid Remotion fee</x:v>
      </x:c>
      <x:c r="B36" s="16" t="n">
        <x:v>0.01</x:v>
      </x:c>
      <x:c r="C36" s="4" t="str">
        <x:v>USD/billable render</x:v>
      </x:c>
      <x:c r="D36" s="4" t="str">
        <x:v>Published conditional licence</x:v>
      </x:c>
      <x:c r="E36" s="4" t="str">
        <x:v>https://www.remotion.dev/docs/license/pricing</x:v>
      </x:c>
    </x:row>
    <x:row r="37" ht="46" customHeight="1">
      <x:c r="A37" s="4" t="str">
        <x:v>Remotion monthly minimum</x:v>
      </x:c>
      <x:c r="B37" s="16" t="n">
        <x:v>100</x:v>
      </x:c>
      <x:c r="C37" s="4" t="str">
        <x:v>USD/month</x:v>
      </x:c>
      <x:c r="D37" s="4" t="str">
        <x:v>Published conditional licence</x:v>
      </x:c>
      <x:c r="E37" s="4" t="str">
        <x:v>https://www.remotion.dev/docs/license/pricing</x:v>
      </x:c>
    </x:row>
    <x:row r="38" ht="46" customHeight="1">
      <x:c r="A38" s="4" t="str">
        <x:v>Billable renders per video</x:v>
      </x:c>
      <x:c r="B38" s="16" t="n">
        <x:v>20</x:v>
      </x:c>
      <x:c r="C38" s="4" t="str">
        <x:v>renders/video</x:v>
      </x:c>
      <x:c r="D38" s="4" t="str">
        <x:v>Unconfirmed accounting assumption</x:v>
      </x:c>
      <x:c r="E38" s="4" t="str">
        <x:v>Confirm contract definition; finished lesson may have multiple billed renders.</x:v>
      </x:c>
    </x:row>
    <x:row r="39" ht="46" customHeight="1">
      <x:c r="A39" s="4" t="str">
        <x:v>Optional Shorts per lesson</x:v>
      </x:c>
      <x:c r="B39" s="16" t="n">
        <x:v>3</x:v>
      </x:c>
      <x:c r="C39" s="4" t="str">
        <x:v>shorts</x:v>
      </x:c>
      <x:c r="D39" s="4" t="str">
        <x:v>Assumption</x:v>
      </x:c>
      <x:c r="E39" s="4" t="str">
        <x:v>ExamLeaf planning assumption; not a quote or benchmark. Replace with measured workload.</x:v>
      </x:c>
    </x:row>
    <x:row r="40" ht="46" customHeight="1">
      <x:c r="A40" s="4" t="str">
        <x:v>Shorts total additional TTS chars</x:v>
      </x:c>
      <x:c r="B40" s="16" t="n">
        <x:v>1800</x:v>
      </x:c>
      <x:c r="C40" s="4" t="str">
        <x:v>characters</x:v>
      </x:c>
      <x:c r="D40" s="4" t="str">
        <x:v>Assumption</x:v>
      </x:c>
      <x:c r="E40" s="4" t="str">
        <x:v>ExamLeaf planning assumption; not a quote or benchmark. Replace with measured workload.</x:v>
      </x:c>
    </x:row>
    <x:row r="41" ht="46" customHeight="1">
      <x:c r="A41" s="4" t="str">
        <x:v>Shorts additional LLM</x:v>
      </x:c>
      <x:c r="B41" s="16" t="n">
        <x:v>0.2</x:v>
      </x:c>
      <x:c r="C41" s="4" t="str">
        <x:v>USD/lesson</x:v>
      </x:c>
      <x:c r="D41" s="4" t="str">
        <x:v>Assumption</x:v>
      </x:c>
      <x:c r="E41" s="4" t="str">
        <x:v>ExamLeaf planning assumption; not a quote or benchmark. Replace with measured workload.</x:v>
      </x:c>
    </x:row>
    <x:row r="42" ht="46" customHeight="1">
      <x:c r="A42" s="4" t="str">
        <x:v>Shorts additional rendering</x:v>
      </x:c>
      <x:c r="B42" s="16" t="n">
        <x:v>0.15</x:v>
      </x:c>
      <x:c r="C42" s="4" t="str">
        <x:v>USD/lesson</x:v>
      </x:c>
      <x:c r="D42" s="4" t="str">
        <x:v>Assumption</x:v>
      </x:c>
      <x:c r="E42" s="4" t="str">
        <x:v>ExamLeaf planning assumption; not a quote or benchmark. Replace with measured workload.</x:v>
      </x:c>
    </x:row>
    <x:row r="43" ht="46" customHeight="1">
      <x:c r="A43" s="4" t="str">
        <x:v>Shorts total editorial review</x:v>
      </x:c>
      <x:c r="B43" s="16" t="n">
        <x:v>15</x:v>
      </x:c>
      <x:c r="C43" s="4" t="str">
        <x:v>minutes/lesson</x:v>
      </x:c>
      <x:c r="D43" s="4" t="str">
        <x:v>Assumption</x:v>
      </x:c>
      <x:c r="E43" s="4" t="str">
        <x:v>ExamLeaf planning assumption; not a quote or benchmark. Replace with measured workload.</x:v>
      </x:c>
    </x:row>
    <x:row r="44" ht="46" customHeight="1">
      <x:c r="A44" s="4" t="str">
        <x:v>Accounting period</x:v>
      </x:c>
      <x:c r="B44" s="16" t="n">
        <x:v>1</x:v>
      </x:c>
      <x:c r="C44" s="4" t="str">
        <x:v>months</x:v>
      </x:c>
      <x:c r="D44" s="4" t="str">
        <x:v>Assumption</x:v>
      </x:c>
      <x:c r="E44" s="4" t="str">
        <x:v>Same one-month project period for 1/100/1000 comparison; change monthly overhead allocation for longer programmes.</x:v>
      </x:c>
    </x:row>
    <x:row r="45" ht="46" customHeight="1">
      <x:c r="A45" s="4" t="str">
        <x:v>AI-heavy academic review</x:v>
      </x:c>
      <x:c r="B45" s="16" t="n">
        <x:v>75</x:v>
      </x:c>
      <x:c r="C45" s="4" t="str">
        <x:v>minutes/video</x:v>
      </x:c>
      <x:c r="D45" s="4" t="str">
        <x:v>Assumption</x:v>
      </x:c>
      <x:c r="E45" s="4" t="str">
        <x:v>ExamLeaf planning assumption; not a quote or benchmark. Replace with measured workload.</x:v>
      </x:c>
    </x:row>
    <x:row r="46" ht="46" customHeight="1">
      <x:c r="A46" s="4" t="str">
        <x:v>Hybrid academic review</x:v>
      </x:c>
      <x:c r="B46" s="16" t="n">
        <x:v>45</x:v>
      </x:c>
      <x:c r="C46" s="4" t="str">
        <x:v>minutes/video</x:v>
      </x:c>
      <x:c r="D46" s="4" t="str">
        <x:v>Assumption</x:v>
      </x:c>
      <x:c r="E46" s="4" t="str">
        <x:v>ExamLeaf planning assumption; not a quote or benchmark. Replace with measured workload.</x:v>
      </x:c>
    </x:row>
    <x:row r="47" ht="46" customHeight="1">
      <x:c r="A47" s="4" t="str">
        <x:v>Self-host academic review</x:v>
      </x:c>
      <x:c r="B47" s="16" t="n">
        <x:v>60</x:v>
      </x:c>
      <x:c r="C47" s="4" t="str">
        <x:v>minutes/video</x:v>
      </x:c>
      <x:c r="D47" s="4" t="str">
        <x:v>Assumption</x:v>
      </x:c>
      <x:c r="E47" s="4" t="str">
        <x:v>ExamLeaf planning assumption; not a quote or benchmark. Replace with measured workload.</x:v>
      </x:c>
    </x:row>
    <x:row r="48" ht="46" customHeight="1">
      <x:c r="A48" s="4" t="str">
        <x:v>AI-heavy production QA</x:v>
      </x:c>
      <x:c r="B48" s="16" t="n">
        <x:v>30</x:v>
      </x:c>
      <x:c r="C48" s="4" t="str">
        <x:v>minutes/video</x:v>
      </x:c>
      <x:c r="D48" s="4" t="str">
        <x:v>Assumption</x:v>
      </x:c>
      <x:c r="E48" s="4" t="str">
        <x:v>ExamLeaf planning assumption; not a quote or benchmark. Replace with measured workload.</x:v>
      </x:c>
    </x:row>
    <x:row r="49" ht="46" customHeight="1">
      <x:c r="A49" s="4" t="str">
        <x:v>Hybrid production QA</x:v>
      </x:c>
      <x:c r="B49" s="16" t="n">
        <x:v>20</x:v>
      </x:c>
      <x:c r="C49" s="4" t="str">
        <x:v>minutes/video</x:v>
      </x:c>
      <x:c r="D49" s="4" t="str">
        <x:v>Assumption</x:v>
      </x:c>
      <x:c r="E49" s="4" t="str">
        <x:v>ExamLeaf planning assumption; not a quote or benchmark. Replace with measured workload.</x:v>
      </x:c>
    </x:row>
    <x:row r="50" ht="46" customHeight="1">
      <x:c r="A50" s="4" t="str">
        <x:v>Self-host production QA</x:v>
      </x:c>
      <x:c r="B50" s="16" t="n">
        <x:v>20</x:v>
      </x:c>
      <x:c r="C50" s="4" t="str">
        <x:v>minutes/video</x:v>
      </x:c>
      <x:c r="D50" s="4" t="str">
        <x:v>Assumption</x:v>
      </x:c>
      <x:c r="E50" s="4" t="str">
        <x:v>ExamLeaf planning assumption; not a quote or benchmark. Replace with measured workload.</x:v>
      </x:c>
    </x:row>
    <x:row r="51" ht="46" customHeight="1">
      <x:c r="A51" s="4" t="str">
        <x:v>AI-heavy repairs</x:v>
      </x:c>
      <x:c r="B51" s="16" t="n">
        <x:v>45</x:v>
      </x:c>
      <x:c r="C51" s="4" t="str">
        <x:v>minutes/video</x:v>
      </x:c>
      <x:c r="D51" s="4" t="str">
        <x:v>Assumption</x:v>
      </x:c>
      <x:c r="E51" s="4" t="str">
        <x:v>ExamLeaf planning assumption; not a quote or benchmark. Replace with measured workload.</x:v>
      </x:c>
    </x:row>
    <x:row r="52" ht="46" customHeight="1">
      <x:c r="A52" s="4" t="str">
        <x:v>Hybrid repairs</x:v>
      </x:c>
      <x:c r="B52" s="16" t="n">
        <x:v>20</x:v>
      </x:c>
      <x:c r="C52" s="4" t="str">
        <x:v>minutes/video</x:v>
      </x:c>
      <x:c r="D52" s="4" t="str">
        <x:v>Assumption</x:v>
      </x:c>
      <x:c r="E52" s="4" t="str">
        <x:v>ExamLeaf planning assumption; not a quote or benchmark. Replace with measured workload.</x:v>
      </x:c>
    </x:row>
    <x:row r="53" ht="46" customHeight="1">
      <x:c r="A53" s="4" t="str">
        <x:v>Self-host repairs</x:v>
      </x:c>
      <x:c r="B53" s="16" t="n">
        <x:v>30</x:v>
      </x:c>
      <x:c r="C53" s="4" t="str">
        <x:v>minutes/video</x:v>
      </x:c>
      <x:c r="D53" s="4" t="str">
        <x:v>Assumption</x:v>
      </x:c>
      <x:c r="E53" s="4" t="str">
        <x:v>ExamLeaf planning assumption; not a quote or benchmark. Replace with measured workload.</x:v>
      </x:c>
    </x:row>
    <x:row r="54" ht="46" customHeight="1">
      <x:c r="A54" s="4" t="str">
        <x:v>AI-heavy monthly fixed</x:v>
      </x:c>
      <x:c r="B54" s="16" t="n">
        <x:v>250</x:v>
      </x:c>
      <x:c r="C54" s="4" t="str">
        <x:v>USD/month</x:v>
      </x:c>
      <x:c r="D54" s="4" t="str">
        <x:v>Assumption</x:v>
      </x:c>
      <x:c r="E54" s="4" t="str">
        <x:v>Storage/tools/orchestration and modest maintenance allowance; no viewer delivery or full engineering team.</x:v>
      </x:c>
    </x:row>
    <x:row r="55" ht="46" customHeight="1">
      <x:c r="A55" s="4" t="str">
        <x:v>Hybrid monthly fixed</x:v>
      </x:c>
      <x:c r="B55" s="16" t="n">
        <x:v>300</x:v>
      </x:c>
      <x:c r="C55" s="4" t="str">
        <x:v>USD/month</x:v>
      </x:c>
      <x:c r="D55" s="4" t="str">
        <x:v>Assumption</x:v>
      </x:c>
      <x:c r="E55" s="4" t="str">
        <x:v>Storage/tools/orchestration and modest maintenance allowance; no viewer delivery or full engineering team.</x:v>
      </x:c>
    </x:row>
    <x:row r="56" ht="46" customHeight="1">
      <x:c r="A56" s="4" t="str">
        <x:v>Self-host monthly fixed</x:v>
      </x:c>
      <x:c r="B56" s="16" t="n">
        <x:v>900</x:v>
      </x:c>
      <x:c r="C56" s="4" t="str">
        <x:v>USD/month</x:v>
      </x:c>
      <x:c r="D56" s="4" t="str">
        <x:v>Assumption</x:v>
      </x:c>
      <x:c r="E56" s="4" t="str">
        <x:v>Higher administration/maintenance allowance; GPU usage is charged separately above, not an always-on fleet.</x:v>
      </x:c>
    </x:row>
    <x:row r="57" ht="46" customHeight="1">
      <x:c r="A57" s="4" t="str">
        <x:v>AI-heavy setup</x:v>
      </x:c>
      <x:c r="B57" s="16" t="n">
        <x:v>5000</x:v>
      </x:c>
      <x:c r="C57" s="4" t="str">
        <x:v>USD one-time</x:v>
      </x:c>
      <x:c r="D57" s="4" t="str">
        <x:v>Illustrative setup budget</x:v>
      </x:c>
      <x:c r="E57" s="4" t="str">
        <x:v>Initial integration/templates only; not quotation or complete curriculum production.</x:v>
      </x:c>
    </x:row>
    <x:row r="58" ht="46" customHeight="1">
      <x:c r="A58" s="4" t="str">
        <x:v>Hybrid setup</x:v>
      </x:c>
      <x:c r="B58" s="16" t="n">
        <x:v>10000</x:v>
      </x:c>
      <x:c r="C58" s="4" t="str">
        <x:v>USD one-time</x:v>
      </x:c>
      <x:c r="D58" s="4" t="str">
        <x:v>Illustrative setup budget</x:v>
      </x:c>
      <x:c r="E58" s="4" t="str">
        <x:v>Initial engine/templates only; actual authoring and specialist asset requirements may exceed this.</x:v>
      </x:c>
    </x:row>
    <x:row r="59" ht="46" customHeight="1">
      <x:c r="A59" s="4" t="str">
        <x:v>Self-host setup</x:v>
      </x:c>
      <x:c r="B59" s="16" t="n">
        <x:v>16000</x:v>
      </x:c>
      <x:c r="C59" s="4" t="str">
        <x:v>USD one-time</x:v>
      </x:c>
      <x:c r="D59" s="4" t="str">
        <x:v>Illustrative setup budget</x:v>
      </x:c>
      <x:c r="E59" s="4" t="str">
        <x:v>Serving/integration/templates only; no owned GPU purchase included.</x:v>
      </x:c>
    </x:row>
    <x:row r="60" ht="46" customHeight="1">
      <x:c r="A60" s="4" t="str">
        <x:v>AI-heavy encode</x:v>
      </x:c>
      <x:c r="B60" s="16" t="n">
        <x:v>0.3</x:v>
      </x:c>
      <x:c r="C60" s="4" t="str">
        <x:v>USD/video</x:v>
      </x:c>
      <x:c r="D60" s="4" t="str">
        <x:v>Unbenchmarked cloud allowance</x:v>
      </x:c>
      <x:c r="E60" s="4" t="str">
        <x:v>ExamLeaf planning assumption; not a quote or benchmark. Replace with measured workload.</x:v>
      </x:c>
    </x:row>
    <x:row r="61" ht="46" customHeight="1">
      <x:c r="A61" s="4" t="str">
        <x:v>Hybrid encode</x:v>
      </x:c>
      <x:c r="B61" s="16" t="n">
        <x:v>0.5</x:v>
      </x:c>
      <x:c r="C61" s="4" t="str">
        <x:v>USD/video</x:v>
      </x:c>
      <x:c r="D61" s="4" t="str">
        <x:v>Unbenchmarked cloud allowance</x:v>
      </x:c>
      <x:c r="E61" s="4" t="str">
        <x:v>ExamLeaf planning assumption; not a quote or benchmark. Replace with measured workload.</x:v>
      </x:c>
    </x:row>
    <x:row r="62" ht="46" customHeight="1">
      <x:c r="A62" s="4" t="str">
        <x:v>Self-host encode</x:v>
      </x:c>
      <x:c r="B62" s="16" t="n">
        <x:v>0.5</x:v>
      </x:c>
      <x:c r="C62" s="4" t="str">
        <x:v>USD/video</x:v>
      </x:c>
      <x:c r="D62" s="4" t="str">
        <x:v>Unbenchmarked cloud allowance</x:v>
      </x:c>
      <x:c r="E62" s="4" t="str">
        <x:v>ExamLeaf planning assumption; not a quote or benchmark. Replace with measured workload.</x:v>
      </x:c>
    </x:row>
    <x:row r="63" ht="46" customHeight="1">
      <x:c r="A63" s="4" t="str">
        <x:v>AI-heavy alignment/audio</x:v>
      </x:c>
      <x:c r="B63" s="16" t="n">
        <x:v>0.1</x:v>
      </x:c>
      <x:c r="C63" s="4" t="str">
        <x:v>USD/video</x:v>
      </x:c>
      <x:c r="D63" s="4" t="str">
        <x:v>Assumption</x:v>
      </x:c>
      <x:c r="E63" s="4" t="str">
        <x:v>ExamLeaf planning assumption; not a quote or benchmark. Replace with measured workload.</x:v>
      </x:c>
    </x:row>
    <x:row r="64" ht="46" customHeight="1">
      <x:c r="A64" s="4" t="str">
        <x:v>Hybrid alignment/audio</x:v>
      </x:c>
      <x:c r="B64" s="16" t="n">
        <x:v>0.1</x:v>
      </x:c>
      <x:c r="C64" s="4" t="str">
        <x:v>USD/video</x:v>
      </x:c>
      <x:c r="D64" s="4" t="str">
        <x:v>Assumption</x:v>
      </x:c>
      <x:c r="E64" s="4" t="str">
        <x:v>ExamLeaf planning assumption; not a quote or benchmark. Replace with measured workload.</x:v>
      </x:c>
    </x:row>
    <x:row r="65" ht="46" customHeight="1">
      <x:c r="A65" s="4" t="str">
        <x:v>Self-host alignment/audio</x:v>
      </x:c>
      <x:c r="B65" s="16" t="n">
        <x:v>0.05</x:v>
      </x:c>
      <x:c r="C65" s="4" t="str">
        <x:v>USD/video</x:v>
      </x:c>
      <x:c r="D65" s="4" t="str">
        <x:v>Assumption</x:v>
      </x:c>
      <x:c r="E65" s="4" t="str">
        <x:v>ExamLeaf planning assumption; not a quote or benchmark. Replace with measured workload.</x:v>
      </x:c>
    </x:row>
    <x:row r="66" ht="46" customHeight="1">
      <x:c r="A66" s="4" t="str">
        <x:v>Working asset storage</x:v>
      </x:c>
      <x:c r="B66" s="16" t="n">
        <x:v>0.2</x:v>
      </x:c>
      <x:c r="C66" s="4" t="str">
        <x:v>USD/video per model period</x:v>
      </x:c>
      <x:c r="D66" s="4" t="str">
        <x:v>Assumption</x:v>
      </x:c>
      <x:c r="E66" s="4" t="str">
        <x:v>Working assets; audience streaming/egress and long-term retention excluded.</x:v>
      </x:c>
    </x:row>
  </x:sheetData>
  <x:mergeCells>
    <x:mergeCell ref="A1:E1"/>
    <x:mergeCell ref="A2:E3"/>
  </x:mergeCells>
  <x:pageMargins left="0.7" right="0.7" top="0.75" bottom="0.75" header="0.3" footer="0.3"/>
  <x:legacyDrawing xmlns:r="http://schemas.openxmlformats.org/officeDocument/2006/relationships" r:id="R30340f0d4e1e4d72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4" customHeight="1">
      <x:c r="A1" s="7" t="str">
        <x:v>PER FINISHED 10-MINUTE VIDEO | USD</x:v>
      </x:c>
      <x:c r="B1" s="7"/>
      <x:c r="C1" s="7"/>
      <x:c r="D1" s="7"/>
    </x:row>
    <x:row r="2" ht="24" customHeight="1">
      <x:c r="A2" s="4"/>
      <x:c r="B2" s="4"/>
      <x:c r="C2" s="4"/>
      <x:c r="D2" s="4"/>
    </x:row>
    <x:row r="3" ht="24" customHeight="1">
      <x:c r="A3" s="4"/>
      <x:c r="B3" s="4"/>
      <x:c r="C3" s="4"/>
      <x:c r="D3" s="4"/>
    </x:row>
    <x:row r="4" ht="32" customHeight="1">
      <x:c r="A4" s="11" t="str">
        <x:v>Cost category</x:v>
      </x:c>
      <x:c r="B4" s="11" t="str">
        <x:v>AI-heavy</x:v>
      </x:c>
      <x:c r="C4" s="11" t="str">
        <x:v>Hybrid</x:v>
      </x:c>
      <x:c r="D4" s="11" t="str">
        <x:v>Mostly self-hosted</x:v>
      </x:c>
    </x:row>
    <x:row r="5" ht="24" customHeight="1">
      <x:c r="A5" s="4" t="str">
        <x:v>LLM reasoning / independent review</x:v>
      </x:c>
      <x:c r="B5" s="20" t="n">
        <x:f>((Inputs!$B$7*Inputs!$B$9+Inputs!$B$8*Inputs!$B$10+Inputs!$B$11*Inputs!$B$13+Inputs!$B$12*Inputs!$B$14+Inputs!$B$15*Inputs!$B$17+Inputs!$B$16*Inputs!$B$18)/1000000)*(1+Inputs!$B$19)</x:f>
        <x:v>1.7160000000000002</x:v>
      </x:c>
      <x:c r="C5" s="20" t="n">
        <x:f>((Inputs!$B$7*Inputs!$B$9+Inputs!$B$8*Inputs!$B$10+Inputs!$B$11*Inputs!$B$13+Inputs!$B$12*Inputs!$B$14+Inputs!$B$15*Inputs!$B$17+Inputs!$B$16*Inputs!$B$18)/1000000)*(1+Inputs!$B$19)</x:f>
        <x:v>1.7160000000000002</x:v>
      </x:c>
      <x:c r="D5" s="20" t="n">
        <x:f>Inputs!$B$32*Inputs!$B$33+(Inputs!$B$11*Inputs!$B$13+Inputs!$B$12*Inputs!$B$14)/1000000*(1+Inputs!$B$19)</x:f>
        <x:v>1.5150000000000001</x:v>
      </x:c>
    </x:row>
    <x:row r="6" ht="24" customHeight="1">
      <x:c r="A6" s="4" t="str">
        <x:v>Narration generation</x:v>
      </x:c>
      <x:c r="B6" s="20" t="n">
        <x:f>Inputs!$B$20*Inputs!$B$21*Inputs!$B$22/1000</x:f>
        <x:v>0.96</x:v>
      </x:c>
      <x:c r="C6" s="20" t="n">
        <x:f>Inputs!$B$20*Inputs!$B$21*Inputs!$B$22/1000</x:f>
        <x:v>0.96</x:v>
      </x:c>
      <x:c r="D6" s="20" t="n">
        <x:f>Inputs!$B$32*Inputs!$B$34</x:f>
        <x:v>0.05</x:v>
      </x:c>
    </x:row>
    <x:row r="7" ht="24" customHeight="1">
      <x:c r="A7" s="4" t="str">
        <x:v>Generated video clips</x:v>
      </x:c>
      <x:c r="B7" s="20" t="n">
        <x:f>Inputs!$B$24*Inputs!$B$23*Inputs!$B$25</x:f>
        <x:v>108</x:v>
      </x:c>
      <x:c r="C7" s="20" t="n">
        <x:f>Inputs!$B$26*Inputs!$B$23*Inputs!$B$27</x:f>
        <x:v>4</x:v>
      </x:c>
      <x:c r="D7" s="20" t="n">
        <x:f>0</x:f>
        <x:v>0</x:v>
      </x:c>
    </x:row>
    <x:row r="8" ht="24" customHeight="1">
      <x:c r="A8" s="4" t="str">
        <x:v>Generated stills</x:v>
      </x:c>
      <x:c r="B8" s="20" t="n">
        <x:f>Inputs!$B$28</x:f>
        <x:v>0.2</x:v>
      </x:c>
      <x:c r="C8" s="20" t="n">
        <x:f>Inputs!$B$28</x:f>
        <x:v>0.2</x:v>
      </x:c>
      <x:c r="D8" s="20" t="n">
        <x:f>0</x:f>
        <x:v>0</x:v>
      </x:c>
    </x:row>
    <x:row r="9" ht="24" customHeight="1">
      <x:c r="A9" s="4" t="str">
        <x:v>Encoding/rendering</x:v>
      </x:c>
      <x:c r="B9" s="20" t="n">
        <x:f>Inputs!$B$60</x:f>
        <x:v>0.3</x:v>
      </x:c>
      <x:c r="C9" s="20" t="n">
        <x:f>Inputs!$B$61</x:f>
        <x:v>0.5</x:v>
      </x:c>
      <x:c r="D9" s="20" t="n">
        <x:f>Inputs!$B$62</x:f>
        <x:v>0.5</x:v>
      </x:c>
    </x:row>
    <x:row r="10" ht="24" customHeight="1">
      <x:c r="A10" s="4" t="str">
        <x:v>Alignment/audio allowance</x:v>
      </x:c>
      <x:c r="B10" s="20" t="n">
        <x:f>Inputs!$B$63</x:f>
        <x:v>0.1</x:v>
      </x:c>
      <x:c r="C10" s="20" t="n">
        <x:f>Inputs!$B$64</x:f>
        <x:v>0.1</x:v>
      </x:c>
      <x:c r="D10" s="20" t="n">
        <x:f>Inputs!$B$65</x:f>
        <x:v>0.05</x:v>
      </x:c>
    </x:row>
    <x:row r="11" ht="24" customHeight="1">
      <x:c r="A11" s="4" t="str">
        <x:v>Working storage</x:v>
      </x:c>
      <x:c r="B11" s="20" t="n">
        <x:f>Inputs!$B$66</x:f>
        <x:v>0.2</x:v>
      </x:c>
      <x:c r="C11" s="20" t="n">
        <x:f>Inputs!$B$66</x:f>
        <x:v>0.2</x:v>
      </x:c>
      <x:c r="D11" s="20" t="n">
        <x:f>Inputs!$B$66</x:f>
        <x:v>0.2</x:v>
      </x:c>
    </x:row>
    <x:row r="12" ht="24" customHeight="1">
      <x:c r="A12" s="22" t="str">
        <x:v>Machine subtotal</x:v>
      </x:c>
      <x:c r="B12" s="26" t="n">
        <x:f>SUM(B5:B11)</x:f>
        <x:v>111.476</x:v>
      </x:c>
      <x:c r="C12" s="26" t="n">
        <x:f>SUM(C5:C11)</x:f>
        <x:v>7.676</x:v>
      </x:c>
      <x:c r="D12" s="26" t="n">
        <x:f>SUM(D5:D11)</x:f>
        <x:v>2.3150000000000004</x:v>
      </x:c>
    </x:row>
    <x:row r="13" ht="24" customHeight="1">
      <x:c r="A13" s="4" t="str">
        <x:v>Academic review</x:v>
      </x:c>
      <x:c r="B13" s="20" t="n">
        <x:f>Inputs!$B$45/60*Inputs!$B$29</x:f>
        <x:v>25</x:v>
      </x:c>
      <x:c r="C13" s="20" t="n">
        <x:f>Inputs!$B$46/60*Inputs!$B$29</x:f>
        <x:v>15</x:v>
      </x:c>
      <x:c r="D13" s="20" t="n">
        <x:f>Inputs!$B$47/60*Inputs!$B$29</x:f>
        <x:v>20</x:v>
      </x:c>
    </x:row>
    <x:row r="14" ht="24" customHeight="1">
      <x:c r="A14" s="4" t="str">
        <x:v>Production QA</x:v>
      </x:c>
      <x:c r="B14" s="20" t="n">
        <x:f>Inputs!$B$48/60*Inputs!$B$30</x:f>
        <x:v>7.5</x:v>
      </x:c>
      <x:c r="C14" s="20" t="n">
        <x:f>Inputs!$B$49/60*Inputs!$B$30</x:f>
        <x:v>5</x:v>
      </x:c>
      <x:c r="D14" s="20" t="n">
        <x:f>Inputs!$B$50/60*Inputs!$B$30</x:f>
        <x:v>5</x:v>
      </x:c>
    </x:row>
    <x:row r="15" ht="24" customHeight="1">
      <x:c r="A15" s="4" t="str">
        <x:v>Repairs / editing</x:v>
      </x:c>
      <x:c r="B15" s="20" t="n">
        <x:f>Inputs!$B$51/60*Inputs!$B$31</x:f>
        <x:v>15</x:v>
      </x:c>
      <x:c r="C15" s="20" t="n">
        <x:f>Inputs!$B$52/60*Inputs!$B$31</x:f>
        <x:v>6.666666666666666</x:v>
      </x:c>
      <x:c r="D15" s="20" t="n">
        <x:f>Inputs!$B$53/60*Inputs!$B$31</x:f>
        <x:v>10</x:v>
      </x:c>
    </x:row>
    <x:row r="16" ht="24" customHeight="1">
      <x:c r="A16" s="22" t="str">
        <x:v>Human subtotal</x:v>
      </x:c>
      <x:c r="B16" s="26" t="n">
        <x:f>SUM(B13:B15)</x:f>
        <x:v>47.5</x:v>
      </x:c>
      <x:c r="C16" s="26" t="n">
        <x:f>SUM(C13:C15)</x:f>
        <x:v>26.666666666666664</x:v>
      </x:c>
      <x:c r="D16" s="26" t="n">
        <x:f>SUM(D13:D15)</x:f>
        <x:v>35</x:v>
      </x:c>
    </x:row>
    <x:row r="17" ht="24" customHeight="1">
      <x:c r="A17" s="22" t="str">
        <x:v>TOTAL VARIABLE COST</x:v>
      </x:c>
      <x:c r="B17" s="26" t="n">
        <x:f>B12+B16</x:f>
        <x:v>158.976</x:v>
      </x:c>
      <x:c r="C17" s="26" t="n">
        <x:f>C12+C16</x:f>
        <x:v>34.342666666666666</x:v>
      </x:c>
      <x:c r="D17" s="26" t="n">
        <x:f>D12+D16</x:f>
        <x:v>37.315</x:v>
      </x:c>
    </x:row>
    <x:row r="18" ht="24" customHeight="1">
      <x:c r="A18" s="4" t="str">
        <x:v>Monthly fixed allowance</x:v>
      </x:c>
      <x:c r="B18" s="20" t="n">
        <x:f>Inputs!$B$54</x:f>
        <x:v>250</x:v>
      </x:c>
      <x:c r="C18" s="20" t="n">
        <x:f>Inputs!$B$55</x:f>
        <x:v>300</x:v>
      </x:c>
      <x:c r="D18" s="20" t="n">
        <x:f>Inputs!$B$56</x:f>
        <x:v>900</x:v>
      </x:c>
    </x:row>
    <x:row r="19" ht="24" customHeight="1">
      <x:c r="A19" s="4" t="str">
        <x:v>One-time setup</x:v>
      </x:c>
      <x:c r="B19" s="20" t="n">
        <x:f>Inputs!$B$57</x:f>
        <x:v>5000</x:v>
      </x:c>
      <x:c r="C19" s="20" t="n">
        <x:f>Inputs!$B$58</x:f>
        <x:v>10000</x:v>
      </x:c>
      <x:c r="D19" s="20" t="n">
        <x:f>Inputs!$B$59</x:f>
        <x:v>16000</x:v>
      </x:c>
    </x:row>
    <x:row r="20" ht="24" customHeight="1">
      <x:c r="A20" s="4" t="str">
        <x:v>Human minutes/video</x:v>
      </x:c>
      <x:c r="B20" s="28" t="n">
        <x:f>Inputs!$B$45+Inputs!$B$48+Inputs!$B$51</x:f>
        <x:v>150</x:v>
      </x:c>
      <x:c r="C20" s="28" t="n">
        <x:f>Inputs!$B$46+Inputs!$B$49+Inputs!$B$52</x:f>
        <x:v>85</x:v>
      </x:c>
      <x:c r="D20" s="28" t="n">
        <x:f>Inputs!$B$47+Inputs!$B$50+Inputs!$B$53</x:f>
        <x:v>110</x:v>
      </x:c>
    </x:row>
    <x:row r="21" ht="24" customHeight="1">
      <x:c r="A21" s="4"/>
      <x:c r="B21" s="4"/>
      <x:c r="C21" s="4"/>
      <x:c r="D21" s="4"/>
    </x:row>
    <x:row r="22" ht="24" customHeight="1">
      <x:c r="A22" s="4"/>
      <x:c r="B22" s="4"/>
      <x:c r="C22" s="4"/>
      <x:c r="D22" s="4"/>
    </x:row>
    <x:row r="23" ht="24" customHeight="1">
      <x:c r="A23" s="4" t="str">
        <x:v>Quality is not assumed equal. AI-heavy scenes can fail scientific requirements regardless of spend. Self-hosted labour and GPU time are unmeasured scenarios. Zero generated clips is the default unless their instructional value is approved.</x:v>
      </x:c>
      <x:c r="B23" s="4"/>
      <x:c r="C23" s="4"/>
      <x:c r="D23" s="4"/>
    </x:row>
    <x:row r="24" ht="24" customHeight="1">
      <x:c r="A24" s="4"/>
      <x:c r="B24" s="4"/>
      <x:c r="C24" s="4"/>
      <x:c r="D24" s="4"/>
    </x:row>
    <x:row r="25" ht="24" customHeight="1">
      <x:c r="A25" s="4"/>
      <x:c r="B25" s="4"/>
      <x:c r="C25" s="4"/>
      <x:c r="D25" s="4"/>
    </x:row>
  </x:sheetData>
  <x:mergeCells>
    <x:mergeCell ref="A1:D1"/>
    <x:mergeCell ref="A23:D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3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4" customHeight="1">
      <x:c r="A1" s="7" t="str">
        <x:v>VOLUME COMPARISON | same one-month operating period</x:v>
      </x:c>
      <x:c r="B1" s="7"/>
      <x:c r="C1" s="7"/>
      <x:c r="D1" s="7"/>
      <x:c r="E1" s="7"/>
      <x:c r="F1" s="7"/>
      <x:c r="G1" s="7"/>
      <x:c r="H1" s="7"/>
      <x:c r="I1" s="7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32" customHeight="1">
      <x:c r="A4" s="11" t="str">
        <x:v>Architecture</x:v>
      </x:c>
      <x:c r="B4" s="11" t="str">
        <x:v>Videos</x:v>
      </x:c>
      <x:c r="C4" s="11" t="str">
        <x:v>Variable USD/video</x:v>
      </x:c>
      <x:c r="D4" s="11" t="str">
        <x:v>Variable USD</x:v>
      </x:c>
      <x:c r="E4" s="11" t="str">
        <x:v>Fixed USD</x:v>
      </x:c>
      <x:c r="F4" s="11" t="str">
        <x:v>Operating total USD</x:v>
      </x:c>
      <x:c r="G4" s="11" t="str">
        <x:v>Average USD/video</x:v>
      </x:c>
      <x:c r="H4" s="11" t="str">
        <x:v>Setup USD</x:v>
      </x:c>
      <x:c r="I4" s="11" t="str">
        <x:v>Total with setup USD</x:v>
      </x:c>
    </x:row>
    <x:row r="5" ht="24" customHeight="1">
      <x:c r="A5" s="4" t="str">
        <x:v>AI-heavy</x:v>
      </x:c>
      <x:c r="B5" s="4" t="n">
        <x:v>1</x:v>
      </x:c>
      <x:c r="C5" s="30" t="n">
        <x:f>'Per Video'!B17</x:f>
        <x:v>158.976</x:v>
      </x:c>
      <x:c r="D5" s="30" t="n">
        <x:f>B5*C5</x:f>
        <x:v>158.976</x:v>
      </x:c>
      <x:c r="E5" s="30" t="n">
        <x:f>'Per Video'!B18*Inputs!$B$44</x:f>
        <x:v>250</x:v>
      </x:c>
      <x:c r="F5" s="34" t="n">
        <x:f>D5+E5</x:f>
        <x:v>408.976</x:v>
      </x:c>
      <x:c r="G5" s="34" t="n">
        <x:f>F5/B5</x:f>
        <x:v>408.976</x:v>
      </x:c>
      <x:c r="H5" s="30" t="n">
        <x:f>'Per Video'!B19</x:f>
        <x:v>5000</x:v>
      </x:c>
      <x:c r="I5" s="30" t="n">
        <x:f>F5+H5</x:f>
        <x:v>5408.976</x:v>
      </x:c>
    </x:row>
    <x:row r="6" ht="24" customHeight="1">
      <x:c r="A6" s="4" t="str">
        <x:v>AI-heavy</x:v>
      </x:c>
      <x:c r="B6" s="4" t="n">
        <x:v>100</x:v>
      </x:c>
      <x:c r="C6" s="30" t="n">
        <x:f>'Per Video'!B17</x:f>
        <x:v>158.976</x:v>
      </x:c>
      <x:c r="D6" s="30" t="n">
        <x:f>B6*C6</x:f>
        <x:v>15897.6</x:v>
      </x:c>
      <x:c r="E6" s="30" t="n">
        <x:f>'Per Video'!B18*Inputs!$B$44</x:f>
        <x:v>250</x:v>
      </x:c>
      <x:c r="F6" s="34" t="n">
        <x:f>D6+E6</x:f>
        <x:v>16147.6</x:v>
      </x:c>
      <x:c r="G6" s="34" t="n">
        <x:f>F6/B6</x:f>
        <x:v>161.476</x:v>
      </x:c>
      <x:c r="H6" s="30" t="n">
        <x:f>'Per Video'!B19</x:f>
        <x:v>5000</x:v>
      </x:c>
      <x:c r="I6" s="30" t="n">
        <x:f>F6+H6</x:f>
        <x:v>21147.6</x:v>
      </x:c>
    </x:row>
    <x:row r="7" ht="24" customHeight="1">
      <x:c r="A7" s="4" t="str">
        <x:v>AI-heavy</x:v>
      </x:c>
      <x:c r="B7" s="4" t="n">
        <x:v>1000</x:v>
      </x:c>
      <x:c r="C7" s="30" t="n">
        <x:f>'Per Video'!B17</x:f>
        <x:v>158.976</x:v>
      </x:c>
      <x:c r="D7" s="30" t="n">
        <x:f>B7*C7</x:f>
        <x:v>158976</x:v>
      </x:c>
      <x:c r="E7" s="30" t="n">
        <x:f>'Per Video'!B18*Inputs!$B$44</x:f>
        <x:v>250</x:v>
      </x:c>
      <x:c r="F7" s="34" t="n">
        <x:f>D7+E7</x:f>
        <x:v>159226</x:v>
      </x:c>
      <x:c r="G7" s="34" t="n">
        <x:f>F7/B7</x:f>
        <x:v>159.226</x:v>
      </x:c>
      <x:c r="H7" s="30" t="n">
        <x:f>'Per Video'!B19</x:f>
        <x:v>5000</x:v>
      </x:c>
      <x:c r="I7" s="30" t="n">
        <x:f>F7+H7</x:f>
        <x:v>164226</x:v>
      </x:c>
    </x:row>
    <x:row r="8" ht="24" customHeight="1">
      <x:c r="A8" s="4" t="str">
        <x:v>Hybrid</x:v>
      </x:c>
      <x:c r="B8" s="4" t="n">
        <x:v>1</x:v>
      </x:c>
      <x:c r="C8" s="30" t="n">
        <x:f>'Per Video'!C17</x:f>
        <x:v>34.342666666666666</x:v>
      </x:c>
      <x:c r="D8" s="30" t="n">
        <x:f>B8*C8</x:f>
        <x:v>34.342666666666666</x:v>
      </x:c>
      <x:c r="E8" s="30" t="n">
        <x:f>'Per Video'!C18*Inputs!$B$44</x:f>
        <x:v>300</x:v>
      </x:c>
      <x:c r="F8" s="34" t="n">
        <x:f>D8+E8</x:f>
        <x:v>334.3426666666667</x:v>
      </x:c>
      <x:c r="G8" s="34" t="n">
        <x:f>F8/B8</x:f>
        <x:v>334.3426666666667</x:v>
      </x:c>
      <x:c r="H8" s="30" t="n">
        <x:f>'Per Video'!C19</x:f>
        <x:v>10000</x:v>
      </x:c>
      <x:c r="I8" s="30" t="n">
        <x:f>F8+H8</x:f>
        <x:v>10334.342666666667</x:v>
      </x:c>
    </x:row>
    <x:row r="9" ht="24" customHeight="1">
      <x:c r="A9" s="4" t="str">
        <x:v>Hybrid</x:v>
      </x:c>
      <x:c r="B9" s="4" t="n">
        <x:v>100</x:v>
      </x:c>
      <x:c r="C9" s="30" t="n">
        <x:f>'Per Video'!C17</x:f>
        <x:v>34.342666666666666</x:v>
      </x:c>
      <x:c r="D9" s="30" t="n">
        <x:f>B9*C9</x:f>
        <x:v>3434.2666666666664</x:v>
      </x:c>
      <x:c r="E9" s="30" t="n">
        <x:f>'Per Video'!C18*Inputs!$B$44</x:f>
        <x:v>300</x:v>
      </x:c>
      <x:c r="F9" s="34" t="n">
        <x:f>D9+E9</x:f>
        <x:v>3734.2666666666664</x:v>
      </x:c>
      <x:c r="G9" s="34" t="n">
        <x:f>F9/B9</x:f>
        <x:v>37.342666666666666</x:v>
      </x:c>
      <x:c r="H9" s="30" t="n">
        <x:f>'Per Video'!C19</x:f>
        <x:v>10000</x:v>
      </x:c>
      <x:c r="I9" s="30" t="n">
        <x:f>F9+H9</x:f>
        <x:v>13734.266666666666</x:v>
      </x:c>
    </x:row>
    <x:row r="10" ht="24" customHeight="1">
      <x:c r="A10" s="4" t="str">
        <x:v>Hybrid</x:v>
      </x:c>
      <x:c r="B10" s="4" t="n">
        <x:v>1000</x:v>
      </x:c>
      <x:c r="C10" s="30" t="n">
        <x:f>'Per Video'!C17</x:f>
        <x:v>34.342666666666666</x:v>
      </x:c>
      <x:c r="D10" s="30" t="n">
        <x:f>B10*C10</x:f>
        <x:v>34342.666666666664</x:v>
      </x:c>
      <x:c r="E10" s="30" t="n">
        <x:f>'Per Video'!C18*Inputs!$B$44</x:f>
        <x:v>300</x:v>
      </x:c>
      <x:c r="F10" s="34" t="n">
        <x:f>D10+E10</x:f>
        <x:v>34642.666666666664</x:v>
      </x:c>
      <x:c r="G10" s="34" t="n">
        <x:f>F10/B10</x:f>
        <x:v>34.64266666666666</x:v>
      </x:c>
      <x:c r="H10" s="30" t="n">
        <x:f>'Per Video'!C19</x:f>
        <x:v>10000</x:v>
      </x:c>
      <x:c r="I10" s="30" t="n">
        <x:f>F10+H10</x:f>
        <x:v>44642.666666666664</x:v>
      </x:c>
    </x:row>
    <x:row r="11" ht="24" customHeight="1">
      <x:c r="A11" s="4" t="str">
        <x:v>Self-hosted</x:v>
      </x:c>
      <x:c r="B11" s="4" t="n">
        <x:v>1</x:v>
      </x:c>
      <x:c r="C11" s="30" t="n">
        <x:f>'Per Video'!D17</x:f>
        <x:v>37.315</x:v>
      </x:c>
      <x:c r="D11" s="30" t="n">
        <x:f>B11*C11</x:f>
        <x:v>37.315</x:v>
      </x:c>
      <x:c r="E11" s="30" t="n">
        <x:f>'Per Video'!D18*Inputs!$B$44</x:f>
        <x:v>900</x:v>
      </x:c>
      <x:c r="F11" s="34" t="n">
        <x:f>D11+E11</x:f>
        <x:v>937.315</x:v>
      </x:c>
      <x:c r="G11" s="34" t="n">
        <x:f>F11/B11</x:f>
        <x:v>937.315</x:v>
      </x:c>
      <x:c r="H11" s="30" t="n">
        <x:f>'Per Video'!D19</x:f>
        <x:v>16000</x:v>
      </x:c>
      <x:c r="I11" s="30" t="n">
        <x:f>F11+H11</x:f>
        <x:v>16937.315</x:v>
      </x:c>
    </x:row>
    <x:row r="12" ht="24" customHeight="1">
      <x:c r="A12" s="4" t="str">
        <x:v>Self-hosted</x:v>
      </x:c>
      <x:c r="B12" s="4" t="n">
        <x:v>100</x:v>
      </x:c>
      <x:c r="C12" s="30" t="n">
        <x:f>'Per Video'!D17</x:f>
        <x:v>37.315</x:v>
      </x:c>
      <x:c r="D12" s="30" t="n">
        <x:f>B12*C12</x:f>
        <x:v>3731.5</x:v>
      </x:c>
      <x:c r="E12" s="30" t="n">
        <x:f>'Per Video'!D18*Inputs!$B$44</x:f>
        <x:v>900</x:v>
      </x:c>
      <x:c r="F12" s="34" t="n">
        <x:f>D12+E12</x:f>
        <x:v>4631.5</x:v>
      </x:c>
      <x:c r="G12" s="34" t="n">
        <x:f>F12/B12</x:f>
        <x:v>46.315</x:v>
      </x:c>
      <x:c r="H12" s="30" t="n">
        <x:f>'Per Video'!D19</x:f>
        <x:v>16000</x:v>
      </x:c>
      <x:c r="I12" s="30" t="n">
        <x:f>F12+H12</x:f>
        <x:v>20631.5</x:v>
      </x:c>
    </x:row>
    <x:row r="13" ht="24" customHeight="1">
      <x:c r="A13" s="4" t="str">
        <x:v>Self-hosted</x:v>
      </x:c>
      <x:c r="B13" s="4" t="n">
        <x:v>1000</x:v>
      </x:c>
      <x:c r="C13" s="30" t="n">
        <x:f>'Per Video'!D17</x:f>
        <x:v>37.315</x:v>
      </x:c>
      <x:c r="D13" s="30" t="n">
        <x:f>B13*C13</x:f>
        <x:v>37315</x:v>
      </x:c>
      <x:c r="E13" s="30" t="n">
        <x:f>'Per Video'!D18*Inputs!$B$44</x:f>
        <x:v>900</x:v>
      </x:c>
      <x:c r="F13" s="34" t="n">
        <x:f>D13+E13</x:f>
        <x:v>38215</x:v>
      </x:c>
      <x:c r="G13" s="34" t="n">
        <x:f>F13/B13</x:f>
        <x:v>38.215</x:v>
      </x:c>
      <x:c r="H13" s="30" t="n">
        <x:f>'Per Video'!D19</x:f>
        <x:v>16000</x:v>
      </x:c>
      <x:c r="I13" s="30" t="n">
        <x:f>F13+H13</x:f>
        <x:v>54215</x:v>
      </x:c>
    </x:row>
    <x:row r="14" ht="24" customHeight="1">
      <x:c r="A14" s="4"/>
      <x:c r="B14" s="4"/>
      <x:c r="C14" s="4"/>
      <x:c r="D14" s="4"/>
      <x:c r="E14" s="4"/>
      <x:c r="F14" s="4"/>
      <x:c r="G14" s="4"/>
      <x:c r="H14" s="4"/>
      <x:c r="I14" s="4"/>
    </x:row>
    <x:row r="15" ht="24" customHeight="1">
      <x:c r="A15" s="4"/>
      <x:c r="B15" s="4"/>
      <x:c r="C15" s="4"/>
      <x:c r="D15" s="4"/>
      <x:c r="E15" s="4"/>
      <x:c r="F15" s="4"/>
      <x:c r="G15" s="4"/>
      <x:c r="H15" s="4"/>
      <x:c r="I15" s="4"/>
    </x:row>
    <x:row r="16" ht="32" customHeight="1">
      <x:c r="A16" s="11" t="str">
        <x:v>Capacity/add-on</x:v>
      </x:c>
      <x:c r="B16" s="11" t="str">
        <x:v>Value</x:v>
      </x:c>
      <x:c r="C16" s="11" t="str">
        <x:v>Unit</x:v>
      </x:c>
      <x:c r="D16" s="11" t="str">
        <x:v>Qualification</x:v>
      </x:c>
      <x:c r="E16" s="4"/>
      <x:c r="F16" s="4"/>
      <x:c r="G16" s="4"/>
      <x:c r="H16" s="4"/>
      <x:c r="I16" s="4"/>
    </x:row>
    <x:row r="17" ht="24" customHeight="1">
      <x:c r="A17" s="4" t="str">
        <x:v>Hybrid reviewer hours at 1,000</x:v>
      </x:c>
      <x:c r="B17" s="32" t="n">
        <x:f>'Per Video'!C20*B10/60</x:f>
        <x:v>1416.6666666666667</x:v>
      </x:c>
      <x:c r="C17" s="4" t="str">
        <x:v>hours</x:v>
      </x:c>
      <x:c r="D17" s="4" t="str">
        <x:v>Includes academic, QA and repair time</x:v>
      </x:c>
      <x:c r="E17" s="4"/>
      <x:c r="F17" s="4"/>
      <x:c r="G17" s="4"/>
      <x:c r="H17" s="4"/>
      <x:c r="I17" s="4"/>
    </x:row>
    <x:row r="18" ht="24" customHeight="1">
      <x:c r="A18" s="4" t="str">
        <x:v>Hybrid FTE equivalent at 1,000</x:v>
      </x:c>
      <x:c r="B18" s="32" t="n">
        <x:f>B17/Inputs!$B$35</x:f>
        <x:v>8.854166666666668</x:v>
      </x:c>
      <x:c r="C18" s="4" t="str">
        <x:v>FTE-month</x:v>
      </x:c>
      <x:c r="D18" s="4" t="str">
        <x:v>Not a hiring promise; workload allocation</x:v>
      </x:c>
      <x:c r="E18" s="4"/>
      <x:c r="F18" s="4"/>
      <x:c r="G18" s="4"/>
      <x:c r="H18" s="4"/>
      <x:c r="I18" s="4"/>
    </x:row>
    <x:row r="19" ht="24" customHeight="1">
      <x:c r="A19" s="4" t="str">
        <x:v>Optional three-Short package</x:v>
      </x:c>
      <x:c r="B19" s="32" t="n">
        <x:f>Inputs!$B$41+Inputs!$B$40*Inputs!$B$21*Inputs!$B$22/1000+Inputs!$B$42+Inputs!$B$43/60*Inputs!$B$30</x:f>
        <x:v>4.316</x:v>
      </x:c>
      <x:c r="C19" s="4" t="str">
        <x:v>USD/lesson</x:v>
      </x:c>
      <x:c r="D19" s="4" t="str">
        <x:v>Additional cost for total three reviewed Shorts</x:v>
      </x:c>
      <x:c r="E19" s="4"/>
      <x:c r="F19" s="4"/>
      <x:c r="G19" s="4"/>
      <x:c r="H19" s="4"/>
      <x:c r="I19" s="4"/>
    </x:row>
    <x:row r="20" ht="24" customHeight="1">
      <x:c r="A20" s="4" t="str">
        <x:v>Optional Remotion paid tier at 1,000</x:v>
      </x:c>
      <x:c r="B20" s="32" t="n">
        <x:f>MAX(Inputs!$B$37*Inputs!$B$44,B10*Inputs!$B$38*Inputs!$B$36)</x:f>
        <x:v>200</x:v>
      </x:c>
      <x:c r="C20" s="4" t="str">
        <x:v>USD/month</x:v>
      </x:c>
      <x:c r="D20" s="4" t="str">
        <x:v>Only if licence applies; render count needs confirmation</x:v>
      </x:c>
      <x:c r="E20" s="4"/>
      <x:c r="F20" s="4"/>
      <x:c r="G20" s="4"/>
      <x:c r="H20" s="4"/>
      <x:c r="I20" s="4"/>
    </x:row>
    <x:row r="21" ht="24" customHeight="1">
      <x:c r="A21" s="4" t="str">
        <x:v>Hybrid with zero generated clips: variable</x:v>
      </x:c>
      <x:c r="B21" s="32" t="n">
        <x:f>'Per Video'!C17-'Per Video'!C7</x:f>
        <x:v>30.342666666666666</x:v>
      </x:c>
      <x:c r="C21" s="4" t="str">
        <x:v>USD/video</x:v>
      </x:c>
      <x:c r="D21" s="4" t="str">
        <x:v>Removes only optional generation allowance</x:v>
      </x:c>
      <x:c r="E21" s="4"/>
      <x:c r="F21" s="4"/>
      <x:c r="G21" s="4"/>
      <x:c r="H21" s="4"/>
      <x:c r="I21" s="4"/>
    </x:row>
    <x:row r="22" ht="24" customHeight="1">
      <x:c r="A22" s="4"/>
      <x:c r="B22" s="4"/>
      <x:c r="C22" s="4"/>
      <x:c r="D22" s="4"/>
      <x:c r="E22" s="4"/>
      <x:c r="F22" s="4"/>
      <x:c r="G22" s="4"/>
      <x:c r="H22" s="4"/>
      <x:c r="I22" s="4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26" hidden="0" customWidth="1"/>
    <x:col min="5" max="5" width="19" hidden="0" customWidth="1"/>
    <x:col min="6" max="6" width="19" hidden="0" customWidth="1"/>
  </x:cols>
  <x:sheetData>
    <x:row r="1" ht="34" customHeight="1">
      <x:c r="A1" s="7" t="str">
        <x:v>EXAMLEAF | Decision dashboard</x:v>
      </x:c>
      <x:c r="B1" s="7"/>
      <x:c r="C1" s="7"/>
      <x:c r="D1" s="7"/>
      <x:c r="E1" s="7"/>
      <x:c r="F1" s="7"/>
    </x:row>
    <x:row r="2" ht="24" customHeight="1">
      <x:c r="A2" s="4" t="str">
        <x:v>Recommended architecture: deterministic scientific state + reusable SVG/web scenes + selective specialist rendering. HyperFrames is the production candidate; the shipped proof uses native SVG/CairoSVG/FFmpeg, not HyperFrames.</x:v>
      </x:c>
      <x:c r="B2" s="4"/>
      <x:c r="C2" s="4"/>
      <x:c r="D2" s="4"/>
      <x:c r="E2" s="4"/>
      <x:c r="F2" s="4"/>
    </x:row>
    <x:row r="3" ht="24" customHeight="1">
      <x:c r="A3" s="4"/>
      <x:c r="B3" s="4"/>
      <x:c r="C3" s="4"/>
      <x:c r="D3" s="4"/>
      <x:c r="E3" s="4"/>
      <x:c r="F3" s="4"/>
    </x:row>
    <x:row r="4" ht="24" customHeight="1">
      <x:c r="A4" s="4"/>
      <x:c r="B4" s="4"/>
      <x:c r="C4" s="4"/>
      <x:c r="D4" s="4"/>
      <x:c r="E4" s="4"/>
      <x:c r="F4" s="4"/>
    </x:row>
    <x:row r="5" ht="32" customHeight="1">
      <x:c r="A5" s="11" t="str">
        <x:v>Architecture</x:v>
      </x:c>
      <x:c r="B5" s="11" t="str">
        <x:v>Machine USD/video</x:v>
      </x:c>
      <x:c r="C5" s="11" t="str">
        <x:v>Human USD/video</x:v>
      </x:c>
      <x:c r="D5" s="11" t="str">
        <x:v>Operating USD @1,000</x:v>
      </x:c>
      <x:c r="E5" s="4"/>
      <x:c r="F5" s="4"/>
    </x:row>
    <x:row r="6" ht="24" customHeight="1">
      <x:c r="A6" s="4" t="str">
        <x:v>AI-heavy</x:v>
      </x:c>
      <x:c r="B6" s="36" t="n">
        <x:f>'Per Video'!B12</x:f>
        <x:v>111.476</x:v>
      </x:c>
      <x:c r="C6" s="36" t="n">
        <x:f>'Per Video'!B16</x:f>
        <x:v>47.5</x:v>
      </x:c>
      <x:c r="D6" s="36" t="n">
        <x:f>'Volume Model'!F7</x:f>
        <x:v>159226</x:v>
      </x:c>
      <x:c r="E6" s="4"/>
      <x:c r="F6" s="4"/>
    </x:row>
    <x:row r="7" ht="24" customHeight="1">
      <x:c r="A7" s="4" t="str">
        <x:v>Hybrid</x:v>
      </x:c>
      <x:c r="B7" s="36" t="n">
        <x:f>'Per Video'!C12</x:f>
        <x:v>7.676</x:v>
      </x:c>
      <x:c r="C7" s="36" t="n">
        <x:f>'Per Video'!C16</x:f>
        <x:v>26.666666666666664</x:v>
      </x:c>
      <x:c r="D7" s="36" t="n">
        <x:f>'Volume Model'!F10</x:f>
        <x:v>34642.666666666664</x:v>
      </x:c>
      <x:c r="E7" s="4"/>
      <x:c r="F7" s="4"/>
    </x:row>
    <x:row r="8" ht="24" customHeight="1">
      <x:c r="A8" s="4" t="str">
        <x:v>Self-hosted</x:v>
      </x:c>
      <x:c r="B8" s="36" t="n">
        <x:f>'Per Video'!D12</x:f>
        <x:v>2.3150000000000004</x:v>
      </x:c>
      <x:c r="C8" s="36" t="n">
        <x:f>'Per Video'!D16</x:f>
        <x:v>35</x:v>
      </x:c>
      <x:c r="D8" s="36" t="n">
        <x:f>'Volume Model'!F13</x:f>
        <x:v>38215</x:v>
      </x:c>
      <x:c r="E8" s="4"/>
      <x:c r="F8" s="4"/>
    </x:row>
    <x:row r="9" ht="24" customHeight="1">
      <x:c r="A9" s="4"/>
      <x:c r="B9" s="4"/>
      <x:c r="C9" s="4"/>
      <x:c r="D9" s="4"/>
      <x:c r="E9" s="4"/>
      <x:c r="F9" s="4"/>
    </x:row>
    <x:row r="10" ht="24" customHeight="1">
      <x:c r="A10" s="4"/>
      <x:c r="B10" s="4"/>
      <x:c r="C10" s="4"/>
      <x:c r="D10" s="4"/>
      <x:c r="E10" s="4"/>
      <x:c r="F10" s="4"/>
    </x:row>
    <x:row r="11" ht="24" customHeight="1">
      <x:c r="A11" s="4" t="str">
        <x:v>Do not confuse machine expense with total production cost. The prototype has no separate cloud invoice; its measured local wall time is not a cloud price or a forecast for 10-minute narrated lessons. Prices checked 13 October 2026. Taxes, viewer delivery, legal costs, hardware purchase and royalties are outside this production model.</x:v>
      </x:c>
      <x:c r="B11" s="4"/>
      <x:c r="C11" s="4"/>
      <x:c r="D11" s="4"/>
      <x:c r="E11" s="4"/>
      <x:c r="F11" s="4"/>
    </x:row>
    <x:row r="12" ht="24" customHeight="1">
      <x:c r="A12" s="4"/>
      <x:c r="B12" s="4"/>
      <x:c r="C12" s="4"/>
      <x:c r="D12" s="4"/>
      <x:c r="E12" s="4"/>
      <x:c r="F12" s="4"/>
    </x:row>
    <x:row r="13" ht="24" customHeight="1">
      <x:c r="A13" s="4"/>
      <x:c r="B13" s="4"/>
      <x:c r="C13" s="4"/>
      <x:c r="D13" s="4"/>
      <x:c r="E13" s="4"/>
      <x:c r="F13" s="4"/>
    </x:row>
    <x:row r="14" ht="24" customHeight="1">
      <x:c r="A14" s="4"/>
      <x:c r="B14" s="4"/>
      <x:c r="C14" s="4"/>
      <x:c r="D14" s="4"/>
      <x:c r="E14" s="4"/>
      <x:c r="F14" s="4"/>
    </x:row>
    <x:row r="15" ht="24" customHeight="1">
      <x:c r="A15" s="4"/>
      <x:c r="B15" s="4"/>
      <x:c r="C15" s="4"/>
      <x:c r="D15" s="4"/>
      <x:c r="E15" s="4"/>
      <x:c r="F15" s="4"/>
    </x:row>
  </x:sheetData>
  <x:mergeCells>
    <x:mergeCell ref="A1:F1"/>
    <x:mergeCell ref="A2:F3"/>
    <x:mergeCell ref="A11:F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32" customHeight="1">
      <x:c r="A1" s="11" t="str">
        <x:v>Fixture</x:v>
      </x:c>
      <x:c r="B1" s="11" t="str">
        <x:v>Aspect</x:v>
      </x:c>
      <x:c r="C1" s="11" t="str">
        <x:v>Duration seconds</x:v>
      </x:c>
      <x:c r="D1" s="11" t="str">
        <x:v>Frames</x:v>
      </x:c>
      <x:c r="E1" s="11" t="str">
        <x:v>Render wall seconds</x:v>
      </x:c>
      <x:c r="F1" s="11" t="str">
        <x:v>Width</x:v>
      </x:c>
      <x:c r="G1" s="11" t="str">
        <x:v>Height</x:v>
      </x:c>
      <x:c r="H1" s="11" t="str">
        <x:v>Status</x:v>
      </x:c>
    </x:row>
    <x:row r="2" ht="38" customHeight="1">
      <x:c r="A2" s="4" t="str">
        <x:v>biology_genetics</x:v>
      </x:c>
      <x:c r="B2" s="4" t="str">
        <x:v>16:9</x:v>
      </x:c>
      <x:c r="C2" s="4" t="n">
        <x:v>30</x:v>
      </x:c>
      <x:c r="D2" s="4" t="n">
        <x:v>720</x:v>
      </x:c>
      <x:c r="E2" s="4" t="n">
        <x:v>27.425</x:v>
      </x:c>
      <x:c r="F2" s="4" t="n">
        <x:v>1280</x:v>
      </x:c>
      <x:c r="G2" s="4" t="n">
        <x:v>720</x:v>
      </x:c>
      <x:c r="H2" s="4" t="str">
        <x:v>Render passed; audio and expert release pending</x:v>
      </x:c>
    </x:row>
    <x:row r="3" ht="38" customHeight="1">
      <x:c r="A3" s="4" t="str">
        <x:v>biology_genetics</x:v>
      </x:c>
      <x:c r="B3" s="4" t="str">
        <x:v>9:16</x:v>
      </x:c>
      <x:c r="C3" s="4" t="n">
        <x:v>30</x:v>
      </x:c>
      <x:c r="D3" s="4" t="n">
        <x:v>720</x:v>
      </x:c>
      <x:c r="E3" s="4" t="n">
        <x:v>27.951</x:v>
      </x:c>
      <x:c r="F3" s="4" t="n">
        <x:v>720</x:v>
      </x:c>
      <x:c r="G3" s="4" t="n">
        <x:v>1280</x:v>
      </x:c>
      <x:c r="H3" s="4" t="str">
        <x:v>Render passed; audio and expert release pending</x:v>
      </x:c>
    </x:row>
    <x:row r="4" ht="38" customHeight="1">
      <x:c r="A4" s="4" t="str">
        <x:v>chemistry_balance</x:v>
      </x:c>
      <x:c r="B4" s="4" t="str">
        <x:v>16:9</x:v>
      </x:c>
      <x:c r="C4" s="4" t="n">
        <x:v>30</x:v>
      </x:c>
      <x:c r="D4" s="4" t="n">
        <x:v>720</x:v>
      </x:c>
      <x:c r="E4" s="4" t="n">
        <x:v>28.67</x:v>
      </x:c>
      <x:c r="F4" s="4" t="n">
        <x:v>1280</x:v>
      </x:c>
      <x:c r="G4" s="4" t="n">
        <x:v>720</x:v>
      </x:c>
      <x:c r="H4" s="4" t="str">
        <x:v>Render passed; audio and expert release pending</x:v>
      </x:c>
    </x:row>
    <x:row r="5" ht="38" customHeight="1">
      <x:c r="A5" s="4" t="str">
        <x:v>chemistry_balance</x:v>
      </x:c>
      <x:c r="B5" s="4" t="str">
        <x:v>9:16</x:v>
      </x:c>
      <x:c r="C5" s="4" t="n">
        <x:v>30</x:v>
      </x:c>
      <x:c r="D5" s="4" t="n">
        <x:v>720</x:v>
      </x:c>
      <x:c r="E5" s="4" t="n">
        <x:v>29.375</x:v>
      </x:c>
      <x:c r="F5" s="4" t="n">
        <x:v>720</x:v>
      </x:c>
      <x:c r="G5" s="4" t="n">
        <x:v>1280</x:v>
      </x:c>
      <x:c r="H5" s="4" t="str">
        <x:v>Render passed; audio and expert release pending</x:v>
      </x:c>
    </x:row>
    <x:row r="6" ht="38" customHeight="1">
      <x:c r="A6" s="4" t="str">
        <x:v>mathematics_chain</x:v>
      </x:c>
      <x:c r="B6" s="4" t="str">
        <x:v>16:9</x:v>
      </x:c>
      <x:c r="C6" s="4" t="n">
        <x:v>30</x:v>
      </x:c>
      <x:c r="D6" s="4" t="n">
        <x:v>720</x:v>
      </x:c>
      <x:c r="E6" s="4" t="n">
        <x:v>27.372</x:v>
      </x:c>
      <x:c r="F6" s="4" t="n">
        <x:v>1280</x:v>
      </x:c>
      <x:c r="G6" s="4" t="n">
        <x:v>720</x:v>
      </x:c>
      <x:c r="H6" s="4" t="str">
        <x:v>Render passed; audio and expert release pending</x:v>
      </x:c>
    </x:row>
    <x:row r="7" ht="38" customHeight="1">
      <x:c r="A7" s="4" t="str">
        <x:v>mathematics_chain</x:v>
      </x:c>
      <x:c r="B7" s="4" t="str">
        <x:v>9:16</x:v>
      </x:c>
      <x:c r="C7" s="4" t="n">
        <x:v>30</x:v>
      </x:c>
      <x:c r="D7" s="4" t="n">
        <x:v>720</x:v>
      </x:c>
      <x:c r="E7" s="4" t="n">
        <x:v>27.576</x:v>
      </x:c>
      <x:c r="F7" s="4" t="n">
        <x:v>720</x:v>
      </x:c>
      <x:c r="G7" s="4" t="n">
        <x:v>1280</x:v>
      </x:c>
      <x:c r="H7" s="4" t="str">
        <x:v>Render passed; audio and expert release pending</x:v>
      </x:c>
    </x:row>
    <x:row r="8" ht="38" customHeight="1">
      <x:c r="A8" s="4" t="str">
        <x:v>physics_rc</x:v>
      </x:c>
      <x:c r="B8" s="4" t="str">
        <x:v>16:9</x:v>
      </x:c>
      <x:c r="C8" s="4" t="n">
        <x:v>30</x:v>
      </x:c>
      <x:c r="D8" s="4" t="n">
        <x:v>720</x:v>
      </x:c>
      <x:c r="E8" s="4" t="n">
        <x:v>27.338</x:v>
      </x:c>
      <x:c r="F8" s="4" t="n">
        <x:v>1280</x:v>
      </x:c>
      <x:c r="G8" s="4" t="n">
        <x:v>720</x:v>
      </x:c>
      <x:c r="H8" s="4" t="str">
        <x:v>Render passed; audio and expert release pending</x:v>
      </x:c>
    </x:row>
    <x:row r="9" ht="38" customHeight="1">
      <x:c r="A9" s="4" t="str">
        <x:v>physics_rc</x:v>
      </x:c>
      <x:c r="B9" s="4" t="str">
        <x:v>9:16</x:v>
      </x:c>
      <x:c r="C9" s="4" t="n">
        <x:v>30</x:v>
      </x:c>
      <x:c r="D9" s="4" t="n">
        <x:v>720</x:v>
      </x:c>
      <x:c r="E9" s="4" t="n">
        <x:v>28.102</x:v>
      </x:c>
      <x:c r="F9" s="4" t="n">
        <x:v>720</x:v>
      </x:c>
      <x:c r="G9" s="4" t="n">
        <x:v>1280</x:v>
      </x:c>
      <x:c r="H9" s="4" t="str">
        <x:v>Render passed; audio and expert release pending</x:v>
      </x:c>
    </x:row>
    <x:row r="10" ht="24" customHeight="1">
      <x:c r="A10" s="4"/>
      <x:c r="B10" s="4"/>
      <x:c r="C10" s="4"/>
      <x:c r="D10" s="4"/>
      <x:c r="E10" s="4"/>
      <x:c r="F10" s="4"/>
      <x:c r="G10" s="4"/>
      <x:c r="H10" s="4"/>
    </x:row>
    <x:row r="11" ht="24" customHeight="1">
      <x:c r="A11" s="4"/>
      <x:c r="B11" s="4"/>
      <x:c r="C11" s="4"/>
      <x:c r="D11" s="4"/>
      <x:c r="E11" s="4"/>
      <x:c r="F11" s="4"/>
      <x:c r="G11" s="4"/>
      <x:c r="H11" s="4"/>
    </x:row>
    <x:row r="12" ht="24" customHeight="1">
      <x:c r="A12" s="4" t="str">
        <x:v>Eight silent 30s files; two render workers. Simple fixed models, not full curriculum pilots. Scientific checks are bounded; no teacher approval or student study. Current test log: 56 passed. Separate live speech audition is recorded outside these render metrics.</x:v>
      </x:c>
      <x:c r="B12" s="4"/>
      <x:c r="C12" s="4"/>
      <x:c r="D12" s="4"/>
      <x:c r="E12" s="4"/>
      <x:c r="F12" s="4"/>
      <x:c r="G12" s="4"/>
      <x:c r="H12" s="4"/>
    </x:row>
    <x:row r="13" ht="24" customHeight="1">
      <x:c r="A13" s="4"/>
      <x:c r="B13" s="4"/>
      <x:c r="C13" s="4"/>
      <x:c r="D13" s="4"/>
      <x:c r="E13" s="4"/>
      <x:c r="F13" s="4"/>
      <x:c r="G13" s="4"/>
      <x:c r="H13" s="4"/>
    </x:row>
    <x:row r="14" ht="24" customHeight="1">
      <x:c r="A14" s="4"/>
      <x:c r="B14" s="4"/>
      <x:c r="C14" s="4"/>
      <x:c r="D14" s="4"/>
      <x:c r="E14" s="4"/>
      <x:c r="F14" s="4"/>
      <x:c r="G14" s="4"/>
      <x:c r="H14" s="4"/>
    </x:row>
  </x:sheetData>
  <x:mergeCells>
    <x:mergeCell ref="A12:H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0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 ht="32" customHeight="1">
      <x:c r="A1" s="11" t="str">
        <x:v>Skill</x:v>
      </x:c>
      <x:c r="B1" s="11" t="str">
        <x:v>Priority</x:v>
      </x:c>
      <x:c r="C1" s="11" t="str">
        <x:v>Purpose</x:v>
      </x:c>
      <x:c r="D1" s="11" t="str">
        <x:v>Inputs</x:v>
      </x:c>
      <x:c r="E1" s="11" t="str">
        <x:v>Outputs</x:v>
      </x:c>
      <x:c r="F1" s="11" t="str">
        <x:v>Status</x:v>
      </x:c>
      <x:c r="G1" s="11" t="str">
        <x:v>Cost/performance</x:v>
      </x:c>
    </x:row>
    <x:row r="2" ht="88" customHeight="1">
      <x:c r="A2" s="4" t="str">
        <x:v>examleaf-source-ingest</x:v>
      </x:c>
      <x:c r="B2" s="4" t="str">
        <x:v>P0</x:v>
      </x:c>
      <x:c r="C2" s="4" t="str">
        <x:v>Extract owned/permitted PDFs with page provenance</x:v>
      </x:c>
      <x:c r="D2" s="4" t="str">
        <x:v>PDF + rights record</x:v>
      </x:c>
      <x:c r="E2" s="4" t="str">
        <x:v>Native-text JSON; source SHA; flagged pages</x:v>
      </x:c>
      <x:c r="F2" s="4" t="str">
        <x:v>Native-text CLI tested on synthetic PDF; textbook/syllabus ingestion not end-to-end validated</x:v>
      </x:c>
      <x:c r="G2" s="4" t="str">
        <x:v>Local CPU; zero model calls</x:v>
      </x:c>
    </x:row>
    <x:row r="3" ht="88" customHeight="1">
      <x:c r="A3" s="4" t="str">
        <x:v>examleaf-curriculum-map</x:v>
      </x:c>
      <x:c r="B3" s="4" t="str">
        <x:v>P0</x:v>
      </x:c>
      <x:c r="C3" s="4" t="str">
        <x:v>Map concepts to board, class, medium and academic year</x:v>
      </x:c>
      <x:c r="D3" s="4" t="str">
        <x:v>Extracted pages + verified official syllabus</x:v>
      </x:c>
      <x:c r="E3" s="4" t="str">
        <x:v>Versioned coverage map with unresolved items</x:v>
      </x:c>
      <x:c r="F3" s="4" t="str">
        <x:v>Proposed agent workflow; not model-evaluated</x:v>
      </x:c>
      <x:c r="G3" s="4" t="str">
        <x:v>Small retrieval/model job; cache by syllabus hash</x:v>
      </x:c>
    </x:row>
    <x:row r="4" ht="88" customHeight="1">
      <x:c r="A4" s="4" t="str">
        <x:v>examleaf-claim-research</x:v>
      </x:c>
      <x:c r="B4" s="4" t="str">
        <x:v>P0</x:v>
      </x:c>
      <x:c r="C4" s="4" t="str">
        <x:v>Create an attributable claim and worked-answer ledger</x:v>
      </x:c>
      <x:c r="D4" s="4" t="str">
        <x:v>Coverage map + source spans</x:v>
      </x:c>
      <x:c r="E4" s="4" t="str">
        <x:v>SourceRef[]; Claim[]; independent answer keys</x:v>
      </x:c>
      <x:c r="F4" s="4" t="str">
        <x:v>Proposed agent workflow; not model-evaluated</x:v>
      </x:c>
      <x:c r="G4" s="4" t="str">
        <x:v>Research token budget; retrieve relevant spans, not whole books repeatedly</x:v>
      </x:c>
    </x:row>
    <x:row r="5" ht="88" customHeight="1">
      <x:c r="A5" s="4" t="str">
        <x:v>examleaf-lesson-plan</x:v>
      </x:c>
      <x:c r="B5" s="4" t="str">
        <x:v>P0</x:v>
      </x:c>
      <x:c r="C5" s="4" t="str">
        <x:v>Scope a coherent approximately ten-minute lesson</x:v>
      </x:c>
      <x:c r="D5" s="4" t="str">
        <x:v>Approved claims + prerequisite graph</x:v>
      </x:c>
      <x:c r="E5" s="4" t="str">
        <x:v>LessonPlan; beat schedule; 600s plan</x:v>
      </x:c>
      <x:c r="F5" s="4" t="str">
        <x:v>Proposed agent workflow; not model-evaluated</x:v>
      </x:c>
      <x:c r="G5" s="4" t="str">
        <x:v>One structured planning call; no media generation</x:v>
      </x:c>
    </x:row>
    <x:row r="6" ht="88" customHeight="1">
      <x:c r="A6" s="4" t="str">
        <x:v>examleaf-super-teacher</x:v>
      </x:c>
      <x:c r="B6" s="4" t="str">
        <x:v>P0</x:v>
      </x:c>
      <x:c r="C6" s="4" t="str">
        <x:v>Write warm, exact, conversational narration</x:v>
      </x:c>
      <x:c r="D6" s="4" t="str">
        <x:v>LessonPlan + claims + prior-script ledger</x:v>
      </x:c>
      <x:c r="E6" s="4" t="str">
        <x:v>Spoken script separate from display text and directions</x:v>
      </x:c>
      <x:c r="F6" s="4" t="str">
        <x:v>Proposed agent workflow; not model-evaluated</x:v>
      </x:c>
      <x:c r="G6" s="4" t="str">
        <x:v>One draft plus bounded repair; not a fresh long prompt per scene</x:v>
      </x:c>
    </x:row>
    <x:row r="7" ht="88" customHeight="1">
      <x:c r="A7" s="4" t="str">
        <x:v>examleaf-analogy-humour</x:v>
      </x:c>
      <x:c r="B7" s="4" t="str">
        <x:v>P0</x:v>
      </x:c>
      <x:c r="C7" s="4" t="str">
        <x:v>Use relevant stories and optional concept-linked humour</x:v>
      </x:c>
      <x:c r="D7" s="4" t="str">
        <x:v>Scientific claim + audience/language</x:v>
      </x:c>
      <x:c r="E7" s="4" t="str">
        <x:v>Analogy mapping/limit cards; optional jokes</x:v>
      </x:c>
      <x:c r="F7" s="4" t="str">
        <x:v>Proposed agent workflow; not model-evaluated</x:v>
      </x:c>
      <x:c r="G7" s="4" t="str">
        <x:v>Small editorial pass; no separate generative clip required</x:v>
      </x:c>
    </x:row>
    <x:row r="8" ht="88" customHeight="1">
      <x:c r="A8" s="4" t="str">
        <x:v>examleaf-interaction-design</x:v>
      </x:c>
      <x:c r="B8" s="4" t="str">
        <x:v>P0</x:v>
      </x:c>
      <x:c r="C8" s="4" t="str">
        <x:v>Create age-appropriate question/pause/feedback loops</x:v>
      </x:c>
      <x:c r="D8" s="4" t="str">
        <x:v>Target task + script</x:v>
      </x:c>
      <x:c r="E8" s="4" t="str">
        <x:v>Cue[]; answer-hidden periods; hints and answer keys</x:v>
      </x:c>
      <x:c r="F8" s="4" t="str">
        <x:v>Proposed agent workflow; not model-evaluated</x:v>
      </x:c>
      <x:c r="G8" s="4" t="str">
        <x:v>No compulsory API calls; validated data</x:v>
      </x:c>
    </x:row>
    <x:row r="9" ht="88" customHeight="1">
      <x:c r="A9" s="4" t="str">
        <x:v>examleaf-science-math</x:v>
      </x:c>
      <x:c r="B9" s="4" t="str">
        <x:v>P0</x:v>
      </x:c>
      <x:c r="C9" s="4" t="str">
        <x:v>Validate derivations, domains and examples</x:v>
      </x:c>
      <x:c r="D9" s="4" t="str">
        <x:v>Typed expressions + assumptions + answer key</x:v>
      </x:c>
      <x:c r="E9" s="4" t="str">
        <x:v>ScienceReport + approved data</x:v>
      </x:c>
      <x:c r="F9" s="4" t="str">
        <x:v>Bounded chain-rule validator tested; not a general theorem prover</x:v>
      </x:c>
      <x:c r="G9" s="4" t="str">
        <x:v>Local computation; expert checks remain</x:v>
      </x:c>
    </x:row>
    <x:row r="10" ht="88" customHeight="1">
      <x:c r="A10" s="4" t="str">
        <x:v>examleaf-science-physics</x:v>
      </x:c>
      <x:c r="B10" s="4" t="str">
        <x:v>P0</x:v>
      </x:c>
      <x:c r="C10" s="4" t="str">
        <x:v>Validate physical models before drawing</x:v>
      </x:c>
      <x:c r="D10" s="4" t="str">
        <x:v>Initial/boundary conditions + quantities + units</x:v>
      </x:c>
      <x:c r="E10" s="4" t="str">
        <x:v>Trajectory/state data; ScienceReport</x:v>
      </x:c>
      <x:c r="F10" s="4" t="str">
        <x:v>RC analytic/SciPy cross-check tested; broader models proposed</x:v>
      </x:c>
      <x:c r="G10" s="4" t="str">
        <x:v>Local CPU; cache solution by parameters</x:v>
      </x:c>
    </x:row>
    <x:row r="11" ht="88" customHeight="1">
      <x:c r="A11" s="4" t="str">
        <x:v>examleaf-science-chemistry</x:v>
      </x:c>
      <x:c r="B11" s="4" t="str">
        <x:v>P0</x:v>
      </x:c>
      <x:c r="C11" s="4" t="str">
        <x:v>Validate molecular identity and counting</x:v>
      </x:c>
      <x:c r="D11" s="4" t="str">
        <x:v>Approved structures/reaction states + conditions</x:v>
      </x:c>
      <x:c r="E11" s="4" t="str">
        <x:v>Atom maps/counts; ScienceReport</x:v>
      </x:c>
      <x:c r="F11" s="4" t="str">
        <x:v>Bounded H2/O2/H2O count checks tested; mechanisms not implemented</x:v>
      </x:c>
      <x:c r="G11" s="4" t="str">
        <x:v>Local RDKit; expert review for chemistry reasoning</x:v>
      </x:c>
    </x:row>
    <x:row r="12" ht="88" customHeight="1">
      <x:c r="A12" s="4" t="str">
        <x:v>examleaf-science-biology</x:v>
      </x:c>
      <x:c r="B12" s="4" t="str">
        <x:v>P0</x:v>
      </x:c>
      <x:c r="C12" s="4" t="str">
        <x:v>Check explicit biological states and probabilities</x:v>
      </x:c>
      <x:c r="D12" s="4" t="str">
        <x:v>Process definition + stage/count assumptions</x:v>
      </x:c>
      <x:c r="E12" s="4" t="str">
        <x:v>Process-state tables; ScienceReport</x:v>
      </x:c>
      <x:c r="F12" s="4" t="str">
        <x:v>Single-locus probability model tested; anatomy/process validators proposed</x:v>
      </x:c>
      <x:c r="G12" s="4" t="str">
        <x:v>Mostly local rules plus expert review</x:v>
      </x:c>
    </x:row>
    <x:row r="13" ht="88" customHeight="1">
      <x:c r="A13" s="4" t="str">
        <x:v>examleaf-storyboard-route</x:v>
      </x:c>
      <x:c r="B13" s="4" t="str">
        <x:v>P0</x:v>
      </x:c>
      <x:c r="C13" s="4" t="str">
        <x:v>Route each scene by its teaching and accuracy need</x:v>
      </x:c>
      <x:c r="D13" s="4" t="str">
        <x:v>Approved script and claim IDs</x:v>
      </x:c>
      <x:c r="E13" s="4" t="str">
        <x:v>SceneSpec + adapter decision + cost cap</x:v>
      </x:c>
      <x:c r="F13" s="4" t="str">
        <x:v>Proposed agent workflow; not model-evaluated</x:v>
      </x:c>
      <x:c r="G13" s="4" t="str">
        <x:v>One bounded planning pass; cheap deterministic routing</x:v>
      </x:c>
    </x:row>
    <x:row r="14" ht="88" customHeight="1">
      <x:c r="A14" s="4" t="str">
        <x:v>examleaf-svg-scenes</x:v>
      </x:c>
      <x:c r="B14" s="4" t="str">
        <x:v>P0</x:v>
      </x:c>
      <x:c r="C14" s="4" t="str">
        <x:v>Render tested scientific 2D fixtures</x:v>
      </x:c>
      <x:c r="D14" s="4" t="str">
        <x:v>SceneSpec + verified model</x:v>
      </x:c>
      <x:c r="E14" s="4" t="str">
        <x:v>Frame SVG/PNG; 16:9 and 9:16 MP4</x:v>
      </x:c>
      <x:c r="F14" s="4" t="str">
        <x:v>Implemented and tested for four bounded fixtures</x:v>
      </x:c>
      <x:c r="G14" s="4" t="str">
        <x:v>CPU; actual preview benchmarks provided</x:v>
      </x:c>
    </x:row>
    <x:row r="15" ht="88" customHeight="1">
      <x:c r="A15" s="4" t="str">
        <x:v>examleaf-manim-scenes</x:v>
      </x:c>
      <x:c r="B15" s="4" t="str">
        <x:v>P1</x:v>
      </x:c>
      <x:c r="C15" s="4" t="str">
        <x:v>Produce specialist equation/geometry inserts</x:v>
      </x:c>
      <x:c r="D15" s="4" t="str">
        <x:v>Approved derivation/data + scene contract</x:v>
      </x:c>
      <x:c r="E15" s="4" t="str">
        <x:v>Transparent or opaque insert plus manifest</x:v>
      </x:c>
      <x:c r="F15" s="4" t="str">
        <x:v>Proposed agent workflow; not model-evaluated</x:v>
      </x:c>
      <x:c r="G15" s="4" t="str">
        <x:v>Specialist render cost; reuse approved inserts</x:v>
      </x:c>
    </x:row>
    <x:row r="16" ht="88" customHeight="1">
      <x:c r="A16" s="4" t="str">
        <x:v>examleaf-web-composition</x:v>
      </x:c>
      <x:c r="B16" s="4" t="str">
        <x:v>P1</x:v>
      </x:c>
      <x:c r="C16" s="4" t="str">
        <x:v>Compose full lessons in the selected browser engine</x:v>
      </x:c>
      <x:c r="D16" s="4" t="str">
        <x:v>Approved scene media + voice timing + design tokens</x:v>
      </x:c>
      <x:c r="E16" s="4" t="str">
        <x:v>Composed long/vertical video</x:v>
      </x:c>
      <x:c r="F16" s="4" t="str">
        <x:v>Proposed agent workflow; not model-evaluated</x:v>
      </x:c>
      <x:c r="G16" s="4" t="str">
        <x:v>Renderer infrastructure; Remotion eligibility may add licensing</x:v>
      </x:c>
    </x:row>
    <x:row r="17" ht="88" customHeight="1">
      <x:c r="A17" s="4" t="str">
        <x:v>examleaf-blender-scenes</x:v>
      </x:c>
      <x:c r="B17" s="4" t="str">
        <x:v>P2</x:v>
      </x:c>
      <x:c r="C17" s="4" t="str">
        <x:v>Author selective spatial scientific assets</x:v>
      </x:c>
      <x:c r="D17" s="4" t="str">
        <x:v>Reviewed spatial model + asset licence ledger</x:v>
      </x:c>
      <x:c r="E17" s="4" t="str">
        <x:v>Approved .blend/script + rendered insert</x:v>
      </x:c>
      <x:c r="F17" s="4" t="str">
        <x:v>Proposed agent workflow; not model-evaluated</x:v>
      </x:c>
      <x:c r="G17" s="4" t="str">
        <x:v>High setup/render cost; opt-in only</x:v>
      </x:c>
    </x:row>
    <x:row r="18" ht="88" customHeight="1">
      <x:c r="A18" s="4" t="str">
        <x:v>examleaf-molecule-scenes</x:v>
      </x:c>
      <x:c r="B18" s="4" t="str">
        <x:v>P1</x:v>
      </x:c>
      <x:c r="C18" s="4" t="str">
        <x:v>Draw approved structures and reaction states</x:v>
      </x:c>
      <x:c r="D18" s="4" t="str">
        <x:v>RDKit-validated structures + mapping</x:v>
      </x:c>
      <x:c r="E18" s="4" t="str">
        <x:v>2D SVG or optional 3D view</x:v>
      </x:c>
      <x:c r="F18" s="4" t="str">
        <x:v>Proposed agent workflow; not model-evaluated</x:v>
      </x:c>
      <x:c r="G18" s="4" t="str">
        <x:v>Local 2D cheap; 3D only when useful</x:v>
      </x:c>
    </x:row>
    <x:row r="19" ht="88" customHeight="1">
      <x:c r="A19" s="4" t="str">
        <x:v>examleaf-biology-scenes</x:v>
      </x:c>
      <x:c r="B19" s="4" t="str">
        <x:v>P1</x:v>
      </x:c>
      <x:c r="C19" s="4" t="str">
        <x:v>Animate approved biological process states</x:v>
      </x:c>
      <x:c r="D19" s="4" t="str">
        <x:v>State/count/compartment table + licensed SVG</x:v>
      </x:c>
      <x:c r="E19" s="4" t="str">
        <x:v>Layered process scene + state log</x:v>
      </x:c>
      <x:c r="F19" s="4" t="str">
        <x:v>Proposed agent workflow; not model-evaluated</x:v>
      </x:c>
      <x:c r="G19" s="4" t="str">
        <x:v>Asset authoring dominates initial cost</x:v>
      </x:c>
    </x:row>
    <x:row r="20" ht="88" customHeight="1">
      <x:c r="A20" s="4" t="str">
        <x:v>examleaf-voice-direction</x:v>
      </x:c>
      <x:c r="B20" s="4" t="str">
        <x:v>P0</x:v>
      </x:c>
      <x:c r="C20" s="4" t="str">
        <x:v>Translate Super Teacher writing into controlled delivery</x:v>
      </x:c>
      <x:c r="D20" s="4" t="str">
        <x:v>Approved script + language lexicon</x:v>
      </x:c>
      <x:c r="E20" s="4" t="str">
        <x:v>Plain spoken segments; editorial tags; pronunciation map</x:v>
      </x:c>
      <x:c r="F20" s="4" t="str">
        <x:v>Proposed agent workflow; not model-evaluated</x:v>
      </x:c>
      <x:c r="G20" s="4" t="str">
        <x:v>No required media call; reduces repeat synthesis</x:v>
      </x:c>
    </x:row>
    <x:row r="21" ht="88" customHeight="1">
      <x:c r="A21" s="4" t="str">
        <x:v>examleaf-voice-synthesis</x:v>
      </x:c>
      <x:c r="B21" s="4" t="str">
        <x:v>P0</x:v>
      </x:c>
      <x:c r="C21" s="4" t="str">
        <x:v>Generate and cache narration with explicit spend</x:v>
      </x:c>
      <x:c r="D21" s="4" t="str">
        <x:v>Voice spec + approved text + model/voice rights</x:v>
      </x:c>
      <x:c r="E21" s="4" t="str">
        <x:v>Audio assets; exact job/cost manifest</x:v>
      </x:c>
      <x:c r="F21" s="4" t="str">
        <x:v>Packaged remote adapter unimplemented; standalone live speech probe separate</x:v>
      </x:c>
      <x:c r="G21" s="4" t="str">
        <x:v>Pay per generated character; regenerate only changed segments</x:v>
      </x:c>
    </x:row>
    <x:row r="22" ht="88" customHeight="1">
      <x:c r="A22" s="4" t="str">
        <x:v>examleaf-alignment-localize</x:v>
      </x:c>
      <x:c r="B22" s="4" t="str">
        <x:v>P0</x:v>
      </x:c>
      <x:c r="C22" s="4" t="str">
        <x:v>Align final audio and re-author language variants</x:v>
      </x:c>
      <x:c r="D22" s="4" t="str">
        <x:v>Approved text/audio + language glossary</x:v>
      </x:c>
      <x:c r="E22" s="4" t="str">
        <x:v>Word/event timings; localized SceneSpec</x:v>
      </x:c>
      <x:c r="F22" s="4" t="str">
        <x:v>Proposed agent workflow; not model-evaluated</x:v>
      </x:c>
      <x:c r="G22" s="4" t="str">
        <x:v>Alignment plus localization review cost; TTS regenerated only per changed language</x:v>
      </x:c>
    </x:row>
    <x:row r="23" ht="88" customHeight="1">
      <x:c r="A23" s="4" t="str">
        <x:v>examleaf-render-batch</x:v>
      </x:c>
      <x:c r="B23" s="4" t="str">
        <x:v>P0</x:v>
      </x:c>
      <x:c r="C23" s="4" t="str">
        <x:v>Render jobs with cache, budgets and bounded workers</x:v>
      </x:c>
      <x:c r="D23" s="4" t="str">
        <x:v>Validated scenes + hashes + configuration</x:v>
      </x:c>
      <x:c r="E23" s="4" t="str">
        <x:v>MP4/VTT/manifest; retry diagnostics</x:v>
      </x:c>
      <x:c r="F23" s="4" t="str">
        <x:v>Local batch/cache/atomic output tested; distributed queue proposed</x:v>
      </x:c>
      <x:c r="G23" s="4" t="str">
        <x:v>Actual CPU measurements; local proof not cloud-priced</x:v>
      </x:c>
    </x:row>
    <x:row r="24" ht="88" customHeight="1">
      <x:c r="A24" s="4" t="str">
        <x:v>examleaf-visual-qa</x:v>
      </x:c>
      <x:c r="B24" s="4" t="str">
        <x:v>P0</x:v>
      </x:c>
      <x:c r="C24" s="4" t="str">
        <x:v>Check frame content and accessibility</x:v>
      </x:c>
      <x:c r="D24" s="4" t="str">
        <x:v>Frames + semantic states + design contract</x:v>
      </x:c>
      <x:c r="E24" s="4" t="str">
        <x:v>Structured defects with severity/time</x:v>
      </x:c>
      <x:c r="F24" s="4" t="str">
        <x:v>Proposed agent workflow; not model-evaluated</x:v>
      </x:c>
      <x:c r="G24" s="4" t="str">
        <x:v>Automated preflight plus human visual review</x:v>
      </x:c>
    </x:row>
    <x:row r="25" ht="88" customHeight="1">
      <x:c r="A25" s="4" t="str">
        <x:v>examleaf-audio-caption-qa</x:v>
      </x:c>
      <x:c r="B25" s="4" t="str">
        <x:v>P0</x:v>
      </x:c>
      <x:c r="C25" s="4" t="str">
        <x:v>Validate media timing, audio and subtitles</x:v>
      </x:c>
      <x:c r="D25" s="4" t="str">
        <x:v>Video/audio/timings/transcript</x:v>
      </x:c>
      <x:c r="E25" s="4" t="str">
        <x:v>QA report; corrected VTT</x:v>
      </x:c>
      <x:c r="F25" s="4" t="str">
        <x:v>Proposed agent workflow; not model-evaluated</x:v>
      </x:c>
      <x:c r="G25" s="4" t="str">
        <x:v>Small compute; full-listen time budgeted</x:v>
      </x:c>
    </x:row>
    <x:row r="26" ht="88" customHeight="1">
      <x:c r="A26" s="4" t="str">
        <x:v>examleaf-release-review</x:v>
      </x:c>
      <x:c r="B26" s="4" t="str">
        <x:v>P0</x:v>
      </x:c>
      <x:c r="C26" s="4" t="str">
        <x:v>Enforce academic and final-video approval</x:v>
      </x:c>
      <x:c r="D26" s="4" t="str">
        <x:v>Artifacts + science/media reports + approvals</x:v>
      </x:c>
      <x:c r="E26" s="4" t="str">
        <x:v>Release manifest or blockers</x:v>
      </x:c>
      <x:c r="F26" s="4" t="str">
        <x:v>Local policy tests pass; identity-authenticated approval service not implemented</x:v>
      </x:c>
      <x:c r="G26" s="4" t="str">
        <x:v>Mandatory reviewer time; not replaced by LLM vote</x:v>
      </x:c>
    </x:row>
    <x:row r="27" ht="88" customHeight="1">
      <x:c r="A27" s="4" t="str">
        <x:v>examleaf-reel-repurpose</x:v>
      </x:c>
      <x:c r="B27" s="4" t="str">
        <x:v>P0</x:v>
      </x:c>
      <x:c r="C27" s="4" t="str">
        <x:v>Create one complete 20–60-second explanation</x:v>
      </x:c>
      <x:c r="D27" s="4" t="str">
        <x:v>Approved lesson/claim IDs + destination</x:v>
      </x:c>
      <x:c r="E27" s="4" t="str">
        <x:v>ShortSpec; vertical scene; caption/CTA draft</x:v>
      </x:c>
      <x:c r="F27" s="4" t="str">
        <x:v>Proposed agent workflow; not model-evaluated</x:v>
      </x:c>
      <x:c r="G27" s="4" t="str">
        <x:v>Reuse expensive assets; new editorial approval still required</x:v>
      </x:c>
    </x:row>
    <x:row r="28" ht="88" customHeight="1">
      <x:c r="A28" s="4" t="str">
        <x:v>examleaf-thumbnail-package</x:v>
      </x:c>
      <x:c r="B28" s="4" t="str">
        <x:v>P1</x:v>
      </x:c>
      <x:c r="C28" s="4" t="str">
        <x:v>Create truthful title/cover/package</x:v>
      </x:c>
      <x:c r="D28" s="4" t="str">
        <x:v>Approved lesson, concept and brand tokens</x:v>
      </x:c>
      <x:c r="E28" s="4" t="str">
        <x:v>Title options; editable SVG cover; description</x:v>
      </x:c>
      <x:c r="F28" s="4" t="str">
        <x:v>Proposed agent workflow; not model-evaluated</x:v>
      </x:c>
      <x:c r="G28" s="4" t="str">
        <x:v>Near-zero render cost; optional generated illustration capped</x:v>
      </x:c>
    </x:row>
    <x:row r="29" ht="88" customHeight="1">
      <x:c r="A29" s="4" t="str">
        <x:v>examleaf-observability-cost</x:v>
      </x:c>
      <x:c r="B29" s="4" t="str">
        <x:v>P0</x:v>
      </x:c>
      <x:c r="C29" s="4" t="str">
        <x:v>Track cost, failures and throughput</x:v>
      </x:c>
      <x:c r="D29" s="4" t="str">
        <x:v>Jobs/invoices/review minutes/cache events</x:v>
      </x:c>
      <x:c r="E29" s="4" t="str">
        <x:v>Cost dashboard and reconciliation</x:v>
      </x:c>
      <x:c r="F29" s="4" t="str">
        <x:v>Local cents ledger tested; provider reconciliation proposed</x:v>
      </x:c>
      <x:c r="G29" s="4" t="str">
        <x:v>Local metrics; avoid logging confidential prompts</x:v>
      </x:c>
    </x:row>
    <x:row r="30" ht="88" customHeight="1">
      <x:c r="A30" s="4" t="str">
        <x:v>examleaf-skills-security</x:v>
      </x:c>
      <x:c r="B30" s="4" t="str">
        <x:v>P0</x:v>
      </x:c>
      <x:c r="C30" s="4" t="str">
        <x:v>Audit third-party Skills, plugins and MCP</x:v>
      </x:c>
      <x:c r="D30" s="4" t="str">
        <x:v>Repository/package manifest + requested permissions</x:v>
      </x:c>
      <x:c r="E30" s="4" t="str">
        <x:v>Approval record; pinned digest; allowlist</x:v>
      </x:c>
      <x:c r="F30" s="4" t="str">
        <x:v>Proposed agent workflow; not model-evaluated</x:v>
      </x:c>
      <x:c r="G30" s="4" t="str">
        <x:v>One-time audit plus upgrade revalidation; not full automatic security proof</x:v>
      </x:c>
    </x:row>
    <x:row r="31" ht="88" customHeight="1">
      <x:c r="A31" s="4" t="str">
        <x:v>examleaf-learning-evaluation</x:v>
      </x:c>
      <x:c r="B31" s="4" t="str">
        <x:v>P1</x:v>
      </x:c>
      <x:c r="C31" s="4" t="str">
        <x:v>Measure actual learning and calibrated confidence</x:v>
      </x:c>
      <x:c r="D31" s="4" t="str">
        <x:v>Approved lesson + assessment + consent design</x:v>
      </x:c>
      <x:c r="E31" s="4" t="str">
        <x:v>Pilot evaluation plan and results</x:v>
      </x:c>
      <x:c r="F31" s="4" t="str">
        <x:v>Proposed agent workflow; not model-evaluated</x:v>
      </x:c>
      <x:c r="G31" s="4" t="str">
        <x:v>Human research time; no emotion surveillance</x:v>
      </x:c>
    </x:row>
    <x:row r="32" ht="88" customHeight="1">
      <x:c r="A32" s="4" t="str">
        <x:v>examleaf-asset-library</x:v>
      </x:c>
      <x:c r="B32" s="4" t="str">
        <x:v>P0</x:v>
      </x:c>
      <x:c r="C32" s="4" t="str">
        <x:v>Manage reusable verified assets and branding</x:v>
      </x:c>
      <x:c r="D32" s="4" t="str">
        <x:v>Source/owned assets + design tokens</x:v>
      </x:c>
      <x:c r="E32" s="4" t="str">
        <x:v>AssetManifest; hash/licence/attribution ledger</x:v>
      </x:c>
      <x:c r="F32" s="4" t="str">
        <x:v>Proposed agent workflow; not model-evaluated</x:v>
      </x:c>
      <x:c r="G32" s="4" t="str">
        <x:v>High first-use effort; very low amortized reuse cost</x:v>
      </x:c>
    </x:row>
    <x:row r="33" ht="88" customHeight="1">
      <x:c r="A33" s="4" t="str">
        <x:v>examleaf-selective-generation</x:v>
      </x:c>
      <x:c r="B33" s="4" t="str">
        <x:v>P1</x:v>
      </x:c>
      <x:c r="C33" s="4" t="str">
        <x:v>Procure optional non-authoritative images/clips</x:v>
      </x:c>
      <x:c r="D33" s="4" t="str">
        <x:v>Approved scene purpose + provider capability + cap</x:v>
      </x:c>
      <x:c r="E33" s="4" t="str">
        <x:v>Generated AssetManifest and reviewed clip</x:v>
      </x:c>
      <x:c r="F33" s="4" t="str">
        <x:v>Proposed agent workflow; not model-evaluated</x:v>
      </x:c>
      <x:c r="G33" s="4" t="str">
        <x:v>Spend bounded per scene; zero generated seconds is allowed</x:v>
      </x:c>
    </x:row>
  </x:sheetData>
  <x:dataValidations count="1">
    <x:dataValidation type="list" sqref="B2:B33">
      <x:formula1>"P0,P1,P2"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 ht="32" customHeight="1">
      <x:c r="A1" s="11" t="str">
        <x:v>Solution</x:v>
      </x:c>
      <x:c r="B1" s="11" t="str">
        <x:v>Type</x:v>
      </x:c>
      <x:c r="C1" s="11" t="str">
        <x:v>Origin</x:v>
      </x:c>
      <x:c r="D1" s="11" t="str">
        <x:v>Use</x:v>
      </x:c>
      <x:c r="E1" s="11" t="str">
        <x:v>Licence / terms</x:v>
      </x:c>
      <x:c r="F1" s="11" t="str">
        <x:v>Verification</x:v>
      </x:c>
      <x:c r="G1" s="11" t="str">
        <x:v>Source URL</x:v>
      </x:c>
      <x:c r="H1" s="11" t="str">
        <x:v>Snapshot</x:v>
      </x:c>
    </x:row>
    <x:row r="2" ht="88" customHeight="1">
      <x:c r="A2" s="4" t="str">
        <x:v>higgsfield-skills</x:v>
      </x:c>
      <x:c r="B2" s="4" t="str">
        <x:v>Agent Skills</x:v>
      </x:c>
      <x:c r="C2" s="4" t="str">
        <x:v>Official Higgsfield</x:v>
      </x:c>
      <x:c r="D2" s="4" t="str">
        <x:v>Reference/adapt for optional non-scientific illustration and packaging; replace fixed ten-second lesson assembly</x:v>
      </x:c>
      <x:c r="E2" s="4" t="str">
        <x:v>Repository MIT; service and model terms separate</x:v>
      </x:c>
      <x:c r="F2" s="4" t="str">
        <x:v>Documentation inspected; not installed or executed</x:v>
      </x:c>
      <x:c r="G2" s="4" t="str">
        <x:v>https://github.com/higgsfield-ai/skills</x:v>
      </x:c>
      <x:c r="H2" s="4" t="str">
        <x:v>Explainer v0.13.0; SKILL.md blob 8f50a15dda4a9c8a448d4ccbd1cdc1267ed65b2b (blob is NOT a commit pin)</x:v>
      </x:c>
    </x:row>
    <x:row r="3" ht="88" customHeight="1">
      <x:c r="A3" s="4" t="str">
        <x:v>higgsfield-cli</x:v>
      </x:c>
      <x:c r="B3" s="4" t="str">
        <x:v>CLI</x:v>
      </x:c>
      <x:c r="C3" s="4" t="str">
        <x:v>Official Higgsfield</x:v>
      </x:c>
      <x:c r="D3" s="4" t="str">
        <x:v>Implement optional provider adapter after authenticated cost probe</x:v>
      </x:c>
      <x:c r="E3" s="4" t="str">
        <x:v>CLI MIT; SaaS billing/rights separate</x:v>
      </x:c>
      <x:c r="F3" s="4" t="str">
        <x:v>Documentation inspected; not installed or executed</x:v>
      </x:c>
      <x:c r="G3" s="4" t="str">
        <x:v>https://github.com/higgsfield-ai/cli</x:v>
      </x:c>
      <x:c r="H3" s="4" t="str"/>
    </x:row>
    <x:row r="4" ht="88" customHeight="1">
      <x:c r="A4" s="4" t="str">
        <x:v>higgsfield-mcp</x:v>
      </x:c>
      <x:c r="B4" s="4" t="str">
        <x:v>MCP server</x:v>
      </x:c>
      <x:c r="C4" s="4" t="str">
        <x:v>Official Higgsfield</x:v>
      </x:c>
      <x:c r="D4" s="4" t="str">
        <x:v>Optional supervised authoring; not queue owner</x:v>
      </x:c>
      <x:c r="E4" s="4" t="str">
        <x:v>Hosted service terms; subscription credits; Unlimited web mode not presumed to apply</x:v>
      </x:c>
      <x:c r="F4" s="4" t="str">
        <x:v>Documentation inspected; not installed or executed</x:v>
      </x:c>
      <x:c r="G4" s="4" t="str">
        <x:v>https://higgsfield.ai/creator-hub/help-center/integrations/what-is-higgsfield-mcp</x:v>
      </x:c>
      <x:c r="H4" s="4" t="str"/>
    </x:row>
    <x:row r="5" ht="88" customHeight="1">
      <x:c r="A5" s="4" t="str">
        <x:v>higgsfield-api</x:v>
      </x:c>
      <x:c r="B5" s="4" t="str">
        <x:v>HTTP API</x:v>
      </x:c>
      <x:c r="C5" s="4" t="str">
        <x:v>Official Higgsfield</x:v>
      </x:c>
      <x:c r="D5" s="4" t="str">
        <x:v>Investigate endpoint parity before implementing; not interchangeable with MCP</x:v>
      </x:c>
      <x:c r="E5" s="4" t="str">
        <x:v>Separate pay-per-generation API economics; no verified whole-lesson quote</x:v>
      </x:c>
      <x:c r="F5" s="4" t="str">
        <x:v>Documentation inspected; not installed or executed</x:v>
      </x:c>
      <x:c r="G5" s="4" t="str">
        <x:v>https://higgsfield.ai/higgsfield-api</x:v>
      </x:c>
      <x:c r="H5" s="4" t="str"/>
    </x:row>
    <x:row r="6" ht="88" customHeight="1">
      <x:c r="A6" s="4" t="str">
        <x:v>remotion-skills</x:v>
      </x:c>
      <x:c r="B6" s="4" t="str">
        <x:v>Agent Skills</x:v>
      </x:c>
      <x:c r="C6" s="4" t="str">
        <x:v>Official Remotion</x:v>
      </x:c>
      <x:c r="D6" s="4" t="str">
        <x:v>Reuse only if Remotion is selected; avoid overlapping engine Skill suites</x:v>
      </x:c>
      <x:c r="E6" s="4" t="str">
        <x:v>Review Skill licence separately; Remotion engine has conditional commercial licence</x:v>
      </x:c>
      <x:c r="F6" s="4" t="str">
        <x:v>Documentation inspected; not installed or executed</x:v>
      </x:c>
      <x:c r="G6" s="4" t="str">
        <x:v>https://github.com/remotion-dev/skills</x:v>
      </x:c>
      <x:c r="H6" s="4" t="str">
        <x:v>README blob 7718807e9e289dc95e66347fb96f11f20128508e; 12 listed Skills</x:v>
      </x:c>
    </x:row>
    <x:row r="7" ht="88" customHeight="1">
      <x:c r="A7" s="4" t="str">
        <x:v>hyperframes</x:v>
      </x:c>
      <x:c r="B7" s="4" t="str">
        <x:v>Engine + Agent Skills</x:v>
      </x:c>
      <x:c r="C7" s="4" t="str">
        <x:v>Official HeyGen</x:v>
      </x:c>
      <x:c r="D7" s="4" t="str">
        <x:v>Primary production compositor candidate; compare same fixtures with Remotion before adoption</x:v>
      </x:c>
      <x:c r="E7" s="4" t="str">
        <x:v>Apache-2.0 engine; inspect optional runtime/assets separately</x:v>
      </x:c>
      <x:c r="F7" s="4" t="str">
        <x:v>Documentation inspected; not installed or executed</x:v>
      </x:c>
      <x:c r="G7" s="4" t="str">
        <x:v>https://github.com/heygen-com/hyperframes</x:v>
      </x:c>
      <x:c r="H7" s="4" t="str">
        <x:v>skills-manifest.json blob 960e5a88ac87ff5aee65660b8085fb1a943e95d8; 21 manifest entries, cached README count differs</x:v>
      </x:c>
    </x:row>
    <x:row r="8" ht="88" customHeight="1">
      <x:c r="A8" s="4" t="str">
        <x:v>elevenlabs-skills</x:v>
      </x:c>
      <x:c r="B8" s="4" t="str">
        <x:v>Agent Skills</x:v>
      </x:c>
      <x:c r="C8" s="4" t="str">
        <x:v>Official ElevenLabs</x:v>
      </x:c>
      <x:c r="D8" s="4" t="str">
        <x:v>Reuse selected instructions; custom audio timing, terminology, budget and release wrappers</x:v>
      </x:c>
      <x:c r="E8" s="4" t="str">
        <x:v>MIT Skills; commercial voice rights and API terms separate</x:v>
      </x:c>
      <x:c r="F8" s="4" t="str">
        <x:v>Documentation inspected; not installed or executed</x:v>
      </x:c>
      <x:c r="G8" s="4" t="str">
        <x:v>https://github.com/elevenlabs/skills</x:v>
      </x:c>
      <x:c r="H8" s="4" t="str">
        <x:v>README blob 1df95fc2fb6a7a4803381e6138ddc91942a239cf; 10 listed Skills</x:v>
      </x:c>
    </x:row>
    <x:row r="9" ht="88" customHeight="1">
      <x:c r="A9" s="4" t="str">
        <x:v>anthropic-skills</x:v>
      </x:c>
      <x:c r="B9" s="4" t="str">
        <x:v>Agent Skills + marketplace</x:v>
      </x:c>
      <x:c r="C9" s="4" t="str">
        <x:v>Official Anthropic</x:v>
      </x:c>
      <x:c r="D9" s="4" t="str">
        <x:v>Reuse evaluation and testing patterns; do not wholesale install document bundle</x:v>
      </x:c>
      <x:c r="E9" s="4" t="str">
        <x:v>Many Apache-2.0; docx/pdf/pptx/xlsx source-available under distinct terms</x:v>
      </x:c>
      <x:c r="F9" s="4" t="str">
        <x:v>Documentation inspected; not installed or executed</x:v>
      </x:c>
      <x:c r="G9" s="4" t="str">
        <x:v>https://github.com/anthropics/skills</x:v>
      </x:c>
      <x:c r="H9" s="4" t="str">
        <x:v>README blob eb54ee8b92f2d40b4b26569be0772be3c1e23156</x:v>
      </x:c>
    </x:row>
    <x:row r="10" ht="88" customHeight="1">
      <x:c r="A10" s="4" t="str">
        <x:v>blender-mcp</x:v>
      </x:c>
      <x:c r="B10" s="4" t="str">
        <x:v>MCP server + Blender add-on</x:v>
      </x:c>
      <x:c r="C10" s="4" t="str">
        <x:v>Community; NOT Blender Foundation</x:v>
      </x:c>
      <x:c r="D10" s="4" t="str">
        <x:v>Isolated asset-authoring workstation only; production uses approved headless Blender Python</x:v>
      </x:c>
      <x:c r="E10" s="4" t="str">
        <x:v>MIT bridge; Blender GPL; imported asset licences separate</x:v>
      </x:c>
      <x:c r="F10" s="4" t="str">
        <x:v>Documentation inspected; not installed or executed</x:v>
      </x:c>
      <x:c r="G10" s="4" t="str">
        <x:v>https://github.com/ahujasid/mcp-for-blender</x:v>
      </x:c>
      <x:c r="H10" s="4" t="str">
        <x:v>README blob 09f5b9fa318dc33a2a2654bf2224a19229ba5188; old path failed then renamed repository inspected</x:v>
      </x:c>
    </x:row>
    <x:row r="11" ht="88" customHeight="1">
      <x:c r="A11" s="4" t="str">
        <x:v>manim-community-skills</x:v>
      </x:c>
      <x:c r="B11" s="4" t="str">
        <x:v>Agent Skills</x:v>
      </x:c>
      <x:c r="C11" s="4" t="str">
        <x:v>Community</x:v>
      </x:c>
      <x:c r="D11" s="4" t="str">
        <x:v>Audit selected CE guidance; do not mix ManimGL and Manim Community APIs</x:v>
      </x:c>
      <x:c r="E11" s="4" t="str">
        <x:v>MIT Skill repository; Manim Community MIT</x:v>
      </x:c>
      <x:c r="F11" s="4" t="str">
        <x:v>Documentation inspected; not installed or executed</x:v>
      </x:c>
      <x:c r="G11" s="4" t="str">
        <x:v>https://github.com/adithya-s-k/manim_skill</x:v>
      </x:c>
      <x:c r="H11" s="4" t="str"/>
    </x:row>
    <x:row r="12" ht="88" customHeight="1">
      <x:c r="A12" s="4" t="str">
        <x:v>scientific-agent-skills</x:v>
      </x:c>
      <x:c r="B12" s="4" t="str">
        <x:v>Agent Skills</x:v>
      </x:c>
      <x:c r="C12" s="4" t="str">
        <x:v>Community K-Dense</x:v>
      </x:c>
      <x:c r="D12" s="4" t="str">
        <x:v>Consult package guidance; use ExamLeaf-specific verification contracts</x:v>
      </x:c>
      <x:c r="E12" s="4" t="str">
        <x:v>Check individual Skill licence/dependencies; no blanket asset clearance</x:v>
      </x:c>
      <x:c r="F12" s="4" t="str">
        <x:v>Documentation inspected; not installed or executed</x:v>
      </x:c>
      <x:c r="G12" s="4" t="str">
        <x:v>https://github.com/K-Dense-AI/scientific-agent-skills</x:v>
      </x:c>
      <x:c r="H12" s="4" t="str"/>
    </x:row>
    <x:row r="13" ht="88" customHeight="1">
      <x:c r="A13" s="4" t="str">
        <x:v>playwright-mcp</x:v>
      </x:c>
      <x:c r="B13" s="4" t="str">
        <x:v>MCP server</x:v>
      </x:c>
      <x:c r="C13" s="4" t="str">
        <x:v>Official Microsoft</x:v>
      </x:c>
      <x:c r="D13" s="4" t="str">
        <x:v>Optional authoring inspection; CI uses direct Playwright tests</x:v>
      </x:c>
      <x:c r="E13" s="4" t="str">
        <x:v>Apache-2.0 repository; browser separately distributed</x:v>
      </x:c>
      <x:c r="F13" s="4" t="str">
        <x:v>Discovery/documentation reference; not executed as MCP</x:v>
      </x:c>
      <x:c r="G13" s="4" t="str">
        <x:v>https://github.com/microsoft/playwright-mcp</x:v>
      </x:c>
      <x:c r="H13" s="4" t="str"/>
    </x:row>
    <x:row r="14" ht="88" customHeight="1">
      <x:c r="A14" s="4" t="str">
        <x:v>skills-sh</x:v>
      </x:c>
      <x:c r="B14" s="4" t="str">
        <x:v>Skill directory</x:v>
      </x:c>
      <x:c r="C14" s="4" t="str">
        <x:v>Vercel ecosystem</x:v>
      </x:c>
      <x:c r="D14" s="4" t="str">
        <x:v>Discovery only</x:v>
      </x:c>
      <x:c r="E14" s="4" t="str">
        <x:v>Per referenced repository</x:v>
      </x:c>
      <x:c r="F14" s="4" t="str">
        <x:v>Documentation inspected; not installed or executed</x:v>
      </x:c>
      <x:c r="G14" s="4" t="str">
        <x:v>https://skills.sh/</x:v>
      </x:c>
      <x:c r="H14" s="4" t="str"/>
    </x:row>
    <x:row r="15" ht="88" customHeight="1">
      <x:c r="A15" s="4" t="str">
        <x:v>mcp-registry</x:v>
      </x:c>
      <x:c r="B15" s="4" t="str">
        <x:v>MCP directory</x:v>
      </x:c>
      <x:c r="C15" s="4" t="str">
        <x:v>MCP ecosystem</x:v>
      </x:c>
      <x:c r="D15" s="4" t="str">
        <x:v>Discovery only</x:v>
      </x:c>
      <x:c r="E15" s="4" t="str">
        <x:v>Per service/server</x:v>
      </x:c>
      <x:c r="F15" s="4" t="str">
        <x:v>Documentation inspected; not installed or executed</x:v>
      </x:c>
      <x:c r="G15" s="4" t="str">
        <x:v>https://registry.modelcontextprotocol.io/</x:v>
      </x:c>
      <x:c r="H15" s="4" t="str"/>
    </x:row>
    <x:row r="16" ht="88" customHeight="1">
      <x:c r="A16" s="4" t="str">
        <x:v>claude-plugin-marketplace</x:v>
      </x:c>
      <x:c r="B16" s="4" t="str">
        <x:v>Plugin marketplace</x:v>
      </x:c>
      <x:c r="C16" s="4" t="str">
        <x:v>Official Anthropic</x:v>
      </x:c>
      <x:c r="D16" s="4" t="str">
        <x:v>Use only when it fills a measured capability gap</x:v>
      </x:c>
      <x:c r="E16" s="4" t="str">
        <x:v>Per plugin</x:v>
      </x:c>
      <x:c r="F16" s="4" t="str">
        <x:v>Documentation inspected; not installed or executed</x:v>
      </x:c>
      <x:c r="G16" s="4" t="str">
        <x:v>https://github.com/anthropics/claude-plugins-official</x:v>
      </x:c>
      <x:c r="H16" s="4" t="str"/>
    </x:row>
    <x:row r="17" ht="88" customHeight="1">
      <x:c r="A17" s="4" t="str">
        <x:v>runway</x:v>
      </x:c>
      <x:c r="B17" s="4" t="str">
        <x:v>Hosted APIs + connected MCP</x:v>
      </x:c>
      <x:c r="C17" s="4" t="str">
        <x:v>Official Runway</x:v>
      </x:c>
      <x:c r="D17" s="4" t="str">
        <x:v>Selective media only; never solver/diagram authority</x:v>
      </x:c>
      <x:c r="E17" s="4" t="str">
        <x:v>Hosted API/voice/model terms separate; account capability gating</x:v>
      </x:c>
      <x:c r="F17" s="4" t="str">
        <x:v>Read-only authentication tested; speech job separately recorded; generative video not tested</x:v>
      </x:c>
      <x:c r="G17" s="4" t="str">
        <x:v>https://docs.dev.runwayml.com/</x:v>
      </x:c>
      <x:c r="H17" s="4" t="str"/>
    </x:row>
    <x:row r="18" ht="88" customHeight="1">
      <x:c r="A18" s="4" t="str">
        <x:v>pika</x:v>
      </x:c>
      <x:c r="B18" s="4" t="str">
        <x:v>Hosted generation API</x:v>
      </x:c>
      <x:c r="C18" s="4" t="str">
        <x:v>Official Pika</x:v>
      </x:c>
      <x:c r="D18" s="4" t="str">
        <x:v>Secondary candidate; not core STEM renderer</x:v>
      </x:c>
      <x:c r="E18" s="4" t="str">
        <x:v>API Club membership plus usage; review model/output terms</x:v>
      </x:c>
      <x:c r="F18" s="4" t="str">
        <x:v>Documentation inspected; not installed or executed</x:v>
      </x:c>
      <x:c r="G18" s="4" t="str">
        <x:v>https://dev.pika.art/pricing</x:v>
      </x:c>
      <x:c r="H18" s="4" t="str"/>
    </x:row>
    <x:row r="19" ht="88" customHeight="1">
      <x:c r="A19" s="4" t="str">
        <x:v>luma</x:v>
      </x:c>
      <x:c r="B19" s="4" t="str">
        <x:v>Hosted generation API</x:v>
      </x:c>
      <x:c r="C19" s="4" t="str">
        <x:v>Official Luma</x:v>
      </x:c>
      <x:c r="D19" s="4" t="str">
        <x:v>Deferred; current final rate not resolved</x:v>
      </x:c>
      <x:c r="E19" s="4" t="str">
        <x:v>Service terms; all-in current quote unresolved</x:v>
      </x:c>
      <x:c r="F19" s="4" t="str">
        <x:v>Official API existence/docs checked; pricing unresolved</x:v>
      </x:c>
      <x:c r="G19" s="4" t="str">
        <x:v>https://lumalabs.ai/api</x:v>
      </x:c>
      <x:c r="H19" s="4" t="str"/>
    </x:row>
    <x:row r="20" ht="88" customHeight="1">
      <x:c r="A20" s="4" t="str">
        <x:v>kling-seedance-veo</x:v>
      </x:c>
      <x:c r="B20" s="4" t="str">
        <x:v>Models behind provider APIs</x:v>
      </x:c>
      <x:c r="C20" s="4" t="str">
        <x:v>Multiple model owners/providers</x:v>
      </x:c>
      <x:c r="D20" s="4" t="str">
        <x:v>Optional illustration; choose exact model/resolution/audio route per request</x:v>
      </x:c>
      <x:c r="E20" s="4" t="str">
        <x:v>Provider-specific prices/access/terms; aggregator access is not direct-owner API access</x:v>
      </x:c>
      <x:c r="F20" s="4" t="str">
        <x:v>Documentation inspected; not installed or executed</x:v>
      </x:c>
      <x:c r="G20" s="4" t="str">
        <x:v>https://docs.dev.runwayml.com/guides/pricing/</x:v>
      </x:c>
      <x:c r="H20" s="4" t="str"/>
    </x:row>
    <x:row r="21" ht="88" customHeight="1">
      <x:c r="A21" s="4" t="str">
        <x:v>motion-canvas</x:v>
      </x:c>
      <x:c r="B21" s="4" t="str">
        <x:v>Animation engine</x:v>
      </x:c>
      <x:c r="C21" s="4" t="str">
        <x:v>Official project</x:v>
      </x:c>
      <x:c r="D21" s="4" t="str">
        <x:v>Alternative, not an additional default runtime</x:v>
      </x:c>
      <x:c r="E21" s="4" t="str">
        <x:v>MIT</x:v>
      </x:c>
      <x:c r="F21" s="4" t="str">
        <x:v>Documentation inspected; not installed or executed</x:v>
      </x:c>
      <x:c r="G21" s="4" t="str">
        <x:v>https://github.com/motion-canvas/motion-canvas</x:v>
      </x:c>
      <x:c r="H21" s="4" t="str"/>
    </x:row>
    <x:row r="22" ht="88" customHeight="1">
      <x:c r="A22" s="4" t="str">
        <x:v>blender</x:v>
      </x:c>
      <x:c r="B22" s="4" t="str">
        <x:v>3D application + Python API</x:v>
      </x:c>
      <x:c r="C22" s="4" t="str">
        <x:v>Blender Foundation</x:v>
      </x:c>
      <x:c r="D22" s="4" t="str">
        <x:v>Selective 3D inserts</x:v>
      </x:c>
      <x:c r="E22" s="4" t="str">
        <x:v>GPL software; output artwork not automatically GPL; third-party models separate</x:v>
      </x:c>
      <x:c r="F22" s="4" t="str">
        <x:v>Documentation inspected; not installed or executed</x:v>
      </x:c>
      <x:c r="G22" s="4" t="str">
        <x:v>https://www.blender.org/about/license/</x:v>
      </x:c>
      <x:c r="H22" s="4" t="str"/>
    </x:row>
  </x:sheetData>
  <x:pageMargins left="0.7" right="0.7" top="0.75" bottom="0.75" header="0.3" footer="0.3"/>
</x:worksheet>
</file>