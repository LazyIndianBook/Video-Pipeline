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12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54701cef6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6b8ff37b359437b"/>
    <x:sheet xmlns:r="http://schemas.openxmlformats.org/officeDocument/2006/relationships" name="Dashboard" sheetId="2" r:id="R27fad905e91a452b"/>
    <x:sheet xmlns:r="http://schemas.openxmlformats.org/officeDocument/2006/relationships" name="Global Inputs" sheetId="3" r:id="R264265abb3dc4efd"/>
    <x:sheet xmlns:r="http://schemas.openxmlformats.org/officeDocument/2006/relationships" name="Scenario Inputs" sheetId="4" r:id="Radec4d28f100488a"/>
    <x:sheet xmlns:r="http://schemas.openxmlformats.org/officeDocument/2006/relationships" name="Volume Inputs" sheetId="5" r:id="Rf6ea382ad0054013"/>
    <x:sheet xmlns:r="http://schemas.openxmlformats.org/officeDocument/2006/relationships" name="Unit Economics" sheetId="6" r:id="R5a716ddd62254420"/>
    <x:sheet xmlns:r="http://schemas.openxmlformats.org/officeDocument/2006/relationships" name="Season P&amp;L" sheetId="7" r:id="Rf5bb74ab771f4416"/>
    <x:sheet xmlns:r="http://schemas.openxmlformats.org/officeDocument/2006/relationships" name="Cash Flow" sheetId="8" r:id="R54c93344f86b4efc"/>
    <x:sheet xmlns:r="http://schemas.openxmlformats.org/officeDocument/2006/relationships" name="Price &amp; CAC" sheetId="9" r:id="R463ea8d7700342bd"/>
    <x:sheet xmlns:r="http://schemas.openxmlformats.org/officeDocument/2006/relationships" name="Digital Offer" sheetId="10" r:id="Rbe0f2207efbf44a1"/>
    <x:sheet xmlns:r="http://schemas.openxmlformats.org/officeDocument/2006/relationships" name="Funnel" sheetId="11" r:id="R9750a5b4616a4613"/>
    <x:sheet xmlns:r="http://schemas.openxmlformats.org/officeDocument/2006/relationships" name="90-Day Budget" sheetId="12" r:id="R9bf7956e21434a04"/>
    <x:sheet xmlns:r="http://schemas.openxmlformats.org/officeDocument/2006/relationships" name="90-Day Roadmap" sheetId="13" r:id="R7f51f42fda6a4d04"/>
    <x:sheet xmlns:r="http://schemas.openxmlformats.org/officeDocument/2006/relationships" name="Reel Backlog" sheetId="14" r:id="Rd59c060488694dd9"/>
    <x:sheet xmlns:r="http://schemas.openxmlformats.org/officeDocument/2006/relationships" name="Sources" sheetId="15" r:id="R99fc17b6582845de"/>
  </x:sheets>
</x:workbook>
</file>

<file path=xl/comments1.xml><?xml version="1.0" encoding="utf-8"?>
<x:comments xmlns:x="http://schemas.openxmlformats.org/spreadsheetml/2006/main">
  <x:authors>
    <x:author>tc={7C939C50-241A-4D76-A580-C223F122D345}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Tax input is an explicit planning assumption, not a legal opinion. Get a written classification review.</x:t>
        </x:r>
      </x:text>
    </x:comment>
  </x:commentList>
</x:comments>
</file>

<file path=xl/comments2.xml><?xml version="1.0" encoding="utf-8"?>
<x:comments xmlns:x="http://schemas.openxmlformats.org/spreadsheetml/2006/main">
  <x:authors>
    <x:author>tc={48F292C3-A1C3-4BD1-A0E9-4AE684CD0CE2}</x:author>
    <x:author>tc={873F122E-29B4-446F-8B9A-AD4837C8C4DB}</x:author>
    <x:author>tc={89608157-DE8A-4CC3-8E40-0A23FBFD0429}</x:author>
    <x:author>tc={1CBA490F-D0EC-4AE9-BBCB-B7582D645608}</x:author>
    <x:author>tc={C9FB6893-1FE5-409E-8C9A-8D9BC2364AD3}</x:author>
    <x:author>tc={3CC9698A-C842-4696-ADF4-1FFFEF25009B}</x:author>
    <x:author>tc={6BCDBAE6-84A9-4CD5-B02F-607E7BC0B829}</x:author>
    <x:author>tc={A6976BFB-D239-4426-8632-97271E0A3FA6}</x:author>
    <x:author>tc={49A6EB91-2669-4927-B178-F3680C1469E9}</x:author>
    <x:author>tc={77570EAC-3FEA-45BB-8C1B-7CFAA322B1AF}</x:author>
    <x:author>tc={3E857051-A8B8-4036-A8FC-71C80E7E979A}</x:author>
    <x:author>tc={7D0A2026-FEA8-4CD7-96E3-9C8D5FFDB678}</x:author>
    <x:author>tc={5A421E95-7B09-4F48-964A-F1651E525EC0}</x:author>
    <x:author>tc={DD0B1E04-0F65-4B47-91C3-69488293C6D0}</x:author>
    <x:author>tc={3B809216-12B1-406A-9043-5796F356565D}</x:author>
    <x:author>tc={A10AFBCC-520D-4714-9674-F9A2BFC6E48D}</x:author>
    <x:author>tc={629094BE-8629-45BA-A4FB-8926CF1B8A7D}</x:author>
    <x:author>tc={ABB0E2C3-3535-406C-9EA6-F0F8E8CEBA8F}</x:author>
    <x:author>tc={78641CB0-F7DD-45DD-9568-ED125AC39D83}</x:author>
    <x:author>tc={FAE79E27-9F01-43FD-B6AE-22FAB618655B}</x:author>
    <x:author>tc={3B0409C1-F655-4680-A21C-140522F463D6}</x:author>
    <x:author>tc={1B811C36-7772-4505-B41E-D71FDF56DF59}</x:author>
    <x:author>tc={74691B32-AD88-488B-B615-AEC829528004}</x:author>
    <x:author>tc={B8601EF8-0EDD-40DC-B512-9BD83CDC427A}</x:author>
    <x:author>tc={94F6744A-DD57-41D9-88F1-1E1E33E92773}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Proposed test price, not observed ExamLeaf sales.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https://gstcouncil.gov.in/sites/default/files/e-version-gst-flyers/Composite%20supply%20%26%20Mixed%20Supply-050819.pdf. Prudent 18% stress/base tax input, NOT legal classification. All cases use it.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https://razorpay.com/pricing/. Standard domestic pricing; promotional free period excluded.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https://razorpay.com/pricing/. Applied to gateway service fee; no input credit assumed.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Budget buffer, NOT a current FX quote.</x:t>
        </x:r>
      </x:text>
    </x:comment>
    <x:comment ref="B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https://developers.cloudflare.com/stream/pricing/. Published usage price; storage separate in fixed infrastructure.</x:t>
        </x:r>
      </x:text>
    </x:comment>
    <x:comment ref="B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Lifetime-of-edition delivery reserve, including repeat viewing; not just first month.</x:t>
        </x:r>
      </x:text>
    </x:comment>
    <x:comment ref="B1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Prudent cash-cost allowance; actual invoice/credit treatment to be checked.</x:t>
        </x:r>
      </x:text>
    </x:comment>
    <x:comment ref="B1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Added to modeled peak cash deficit, not expensed in P&amp;L.</x:t>
        </x:r>
      </x:text>
    </x:comment>
    <x:comment ref="B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One-time edition access; no assumed digital revenue in book scenarios.</x:t>
        </x:r>
      </x:text>
    </x:comment>
    <x:comment ref="B14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50% one month before receipt; balance on receipt. Obtain written terms.</x:t>
        </x:r>
      </x:text>
    </x:comment>
    <x:comment ref="B1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Print receipts in months 2, 4 and 5; other lots are 35% and remainder.</x:t>
        </x:r>
      </x:text>
    </x:comment>
    <x:comment ref="B1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Inventory is not all printed upfront.</x:t>
        </x:r>
      </x:text>
    </x:comment>
    <x:comment ref="B1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Incremental paid/referral acquisition, excludes fixed organic production.</x:t>
        </x:r>
      </x:text>
    </x:comment>
    <x:comment ref="B1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Provision for user support and refund leakage, not unlimited support.</x:t>
        </x:r>
      </x:text>
    </x:comment>
    <x:comment ref="B1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Digital purchasers conservatively assumed active.</x:t>
        </x:r>
      </x:text>
    </x:comment>
    <x:comment ref="B2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Standard-service delivered price; disclose remote-area exceptions before payment.</x:t>
        </x:r>
      </x:text>
    </x:comment>
    <x:comment ref="B2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Customer offer; actual realized per-book input reflects coupons and order mix.</x:t>
        </x:r>
      </x:text>
    </x:comment>
    <x:comment ref="B2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Check physical pagination before a fixed page commitment.</x:t>
        </x:r>
      </x:text>
    </x:comment>
    <x:comment ref="B2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Proposed 7 x 10 inch interior.</x:t>
        </x:r>
      </x:text>
    </x:comment>
    <x:comment ref="B2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Proposed 7 x 10 inch interior.</x:t>
        </x:r>
      </x:text>
    </x:comment>
    <x:comment ref="B25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assumption. Compare opacity and writing comfort on actual proofs.</x:t>
        </x:r>
      </x:text>
    </x:comment>
    <x:comment ref="B26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Definition. Exact conversion.</x:t>
        </x:r>
      </x:text>
    </x:comment>
    <x:comment ref="B3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Seasonality is an illustrative planning distribution. Set actual board deadlines, title readiness and order pipeline; no official exam date is assumed.</x:t>
        </x:r>
      </x:text>
    </x:comment>
    <x:comment ref="C3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Seasonality is an illustrative planning distribution. Set actual board deadlines, title readiness and order pipeline; no official exam date is assumed.</x:t>
        </x:r>
      </x:text>
    </x:comment>
  </x:commentList>
</x:comments>
</file>

<file path=xl/comments3.xml><?xml version="1.0" encoding="utf-8"?>
<x:comments xmlns:x="http://schemas.openxmlformats.org/spreadsheetml/2006/main">
  <x:authors>
    <x:author>tc={2BD26F4B-0A74-491C-B629-7B0991E09430}</x:author>
    <x:author>tc={02A8CE3D-FFD5-492E-BD7C-2E74EAC44013}</x:author>
    <x:author>tc={E1286798-BE73-4442-BB5B-25639E2AEB87}</x:author>
    <x:author>tc={3EC84875-CFFD-4635-BAB5-BE1130F00D0C}</x:author>
    <x:author>tc={D4380899-A0C1-4B67-B3F4-AB7A872C89DD}</x:author>
    <x:author>tc={58982772-1FC5-49EC-A703-D05D8CDF51B5}</x:author>
    <x:author>tc={1C9502FC-B180-4E69-A448-4AC016AA72E4}</x:author>
    <x:author>tc={D43A296E-B88A-4874-968F-8E711F1F7ABD}</x:author>
    <x:author>tc={DDEFA643-68C3-4D0A-AD33-9F027AC82782}</x:author>
    <x:author>tc={32B4C94D-CE39-4AD7-9CE1-ED2494437CA3}</x:author>
    <x:author>tc={B65E6376-315C-4D11-8092-3012C852E2AB}</x:author>
    <x:author>tc={D4652C39-C4C7-4997-95E9-BC63D7C21C59}</x:author>
    <x:author>tc={B94D8829-2C35-49E3-AE64-DAC3F71FB994}</x:author>
    <x:author>tc={222BB4E9-48F6-4A41-92E3-31E7A96DA93C}</x:author>
    <x:author>tc={9FC4C842-DB09-49A4-A1E3-BE848330675F}</x:author>
    <x:author>tc={3EE20520-E917-4C5F-9DAA-114C9F2A8661}</x:author>
    <x:author>tc={623939DE-E905-4E16-8DCC-AB2F3D2F98B7}</x:author>
    <x:author>tc={5C5CF46C-7B6C-41BB-9C17-26840A7F7726}</x:author>
    <x:author>tc={77164143-18CA-43F4-9355-444564633E9D}</x:author>
    <x:author>tc={DAF2BD3F-CC24-4732-AEA2-0B77A041112E}</x:author>
    <x:author>tc={19B0EEAA-FAC7-42CA-AF69-D8BF3F9B63B8}</x:author>
    <x:author>tc={7B47772D-9106-4CED-B57C-54FEB2702C58}</x:author>
    <x:author>tc={69309324-C8EF-4BCA-A566-78DA29DDBB0A}</x:author>
    <x:author>tc={10F96B4C-2DF6-456B-9C81-55D1798F6614}</x:author>
    <x:author>tc={1CF237F4-C245-45FF-A558-2E9254087A01}</x:author>
    <x:author>tc={45BB2FD6-1E9A-46F8-8F56-CD86D9C60CE6}</x:author>
    <x:author>tc={DB5749B8-DC96-4EC6-A206-5EDC070FEEF2}</x:author>
    <x:author>tc={24F03907-37B7-4275-86F9-D1FEECF0E8F8}</x:author>
    <x:author>tc={E0FB4A8A-7F7B-4031-AAA3-209BDC9F5190}</x:author>
    <x:author>tc={E36E9AB8-A081-419E-BA52-E8E3B4DF5AA6}</x:author>
    <x:author>tc={13EE7467-8EBA-4F0A-B737-CCA2F91AD799}</x:author>
    <x:author>tc={14F56610-157A-424F-B497-282F92CDB057}</x:author>
    <x:author>tc={C7595E72-28E8-4C88-A13D-4AB54E51E030}</x:author>
    <x:author>tc={3D48D6BE-DF49-48F6-A850-B7F1DE6D03C7}</x:author>
    <x:author>tc={FD69A8FB-CC93-4B3C-8159-41F5271FD827}</x:author>
    <x:author>tc={816EED02-9242-4CA0-BEBC-FA9A4A1CA7BD}</x:author>
    <x:author>tc={B4600BB3-25A8-4B60-9016-26BD8CE4EF54}</x:author>
    <x:author>tc={E2F9560F-4E64-418B-9B68-3BDAB35F3A78}</x:author>
    <x:author>tc={5434B43C-CBA6-4D70-95E9-801F1CCACC3B}</x:author>
    <x:author>tc={033C9E81-167C-4472-8B5A-9F3E43CADA98}</x:author>
    <x:author>tc={99B48403-D4B7-4B58-A100-A1C8A4939B95}</x:author>
    <x:author>tc={F24BB4DC-1029-47C1-A9A0-C5CC76567B90}</x:author>
    <x:author>tc={0A0710CD-430F-4440-AE8D-4C51DF360BC8}</x:author>
    <x:author>tc={64368295-B8D8-49B1-AC33-5318040606FD}</x:author>
    <x:author>tc={B3A0C9B8-85D1-4A2F-B3FB-F50C3E7E93CD}</x:author>
    <x:author>tc={DA23AA88-A0FA-4C8A-85F9-DD0D6E6EB77E}</x:author>
    <x:author>tc={5040614C-62B8-4FA7-81D9-BCFD071ACD73}</x:author>
    <x:author>tc={E144968A-6273-4472-B9A9-3FC2F9931283}</x:author>
    <x:author>tc={CAA8BA91-0D1B-43B3-8C72-D84DA297749D}</x:author>
    <x:author>tc={1F940452-C388-4071-8B72-E32426D688C7}</x:author>
    <x:author>tc={AB17C11D-AC2D-4E84-9662-DC307B0AB4A7}</x:author>
    <x:author>tc={7D69FC9B-D8B3-41CD-B7E6-49A74C116ACF}</x:author>
    <x:author>tc={783F0C06-18A3-4C0E-9ABE-16605A8DF40C}</x:author>
    <x:author>tc={2ADB01D5-3D72-4415-B3D5-2510FB94BABF}</x:author>
    <x:author>tc={FA0AAED1-510E-458E-B00F-DE799C8AC201}</x:author>
    <x:author>tc={84F8F034-54BB-4382-9BC1-340910E7A745}</x:author>
    <x:author>tc={AC2F3A77-6027-407A-9D52-BFC2AC234BA3}</x:author>
    <x:author>tc={7E8E955B-7C61-450E-AFD2-0DD9AFEB7387}</x:author>
    <x:author>tc={53E2597E-B300-4A21-8EE7-53A6DF090942}</x:author>
    <x:author>tc={196C4FBD-4CD4-415D-8291-C5EA08EA7FB6}</x:author>
    <x:author>tc={A19D2ABF-68A2-41C6-B389-8AB550812153}</x:author>
    <x:author>tc={BB8D894C-A7F4-443E-9BC6-06E8E0B2F4D6}</x:author>
    <x:author>tc={92493CB3-366F-4851-8FC5-DAAF1D8CC44B}</x:author>
    <x:author>tc={7DC0BF88-A8F8-43DB-B47D-01E05C8CCA31}</x:author>
    <x:author>tc={37F33814-6478-4E40-A88D-F1E631AE5DBF}</x:author>
    <x:author>tc={FFAA2C28-8466-40B2-881E-018630FFC596}</x:author>
    <x:author>tc={2AA9CCF0-48A6-426C-BD34-6FE0F530BC7D}</x:author>
    <x:author>tc={0D7161E0-F155-4116-B169-7A5986C176E5}</x:author>
    <x:author>tc={5C96F4EE-00D5-4274-8BC3-40571532F8BB}</x:author>
    <x:author>tc={8D4F190F-A4F2-44E9-A71C-4ACC154FD91F}</x:author>
    <x:author>tc={CFCFC57C-645A-4CA7-8D22-978323ED96F4}</x:author>
    <x:author>tc={AE495759-C1DD-4010-A1E3-D67D121EC835}</x:author>
    <x:author>tc={4F90D3E2-7181-4A40-9F6E-E42FC7509442}</x:author>
    <x:author>tc={607DED10-7FA1-4ADC-9192-8E05A40A9070}</x:author>
    <x:author>tc={AFABA899-C1E9-4C56-8EAC-087FBD4B15F6}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realized per book, after bundle/coupon mix. Review before committing stock or ad spend.</x:t>
        </x:r>
      </x:text>
    </x:comment>
    <x:comment ref="C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realized per book, after bundle/coupon mix. Review before committing stock or ad spend.</x:t>
        </x:r>
      </x:text>
    </x:comment>
    <x:comment ref="D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realized per book, after bundle/coupon mix. Review before committing stock or ad spend.</x:t>
        </x:r>
      </x:text>
    </x:comment>
    <x:comment ref="B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selling price. Review before committing stock or ad spend.</x:t>
        </x:r>
      </x:text>
    </x:comment>
    <x:comment ref="C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selling price. Review before committing stock or ad spend.</x:t>
        </x:r>
      </x:text>
    </x:comment>
    <x:comment ref="D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selling price. Review before committing stock or ad spend.</x:t>
        </x:r>
      </x:text>
    </x:comment>
    <x:comment ref="B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discount from MRP. Review before committing stock or ad spend.</x:t>
        </x:r>
      </x:text>
    </x:comment>
    <x:comment ref="C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discount from MRP. Review before committing stock or ad spend.</x:t>
        </x:r>
      </x:text>
    </x:comment>
    <x:comment ref="D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discount from MRP. Review before committing stock or ad spend.</x:t>
        </x:r>
      </x:text>
    </x:comment>
    <x:comment ref="B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Combined distributor/retailer discount from MRP. Review before committing stock or ad spend.</x:t>
        </x:r>
      </x:text>
    </x:comment>
    <x:comment ref="C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Combined distributor/retailer discount from MRP. Review before committing stock or ad spend.</x:t>
        </x:r>
      </x:text>
    </x:comment>
    <x:comment ref="D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Combined distributor/retailer discount from MRP. Review before committing stock or ad spend.</x:t>
        </x:r>
      </x:text>
    </x:comment>
    <x:comment ref="B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Direct-to-consumer unit share. Review before committing stock or ad spend.</x:t>
        </x:r>
      </x:text>
    </x:comment>
    <x:comment ref="C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Direct-to-consumer unit share. Review before committing stock or ad spend.</x:t>
        </x:r>
      </x:text>
    </x:comment>
    <x:comment ref="D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Direct-to-consumer unit share. Review before committing stock or ad spend.</x:t>
        </x:r>
      </x:text>
    </x:comment>
    <x:comment ref="B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Institutional/bulk unit share. Review before committing stock or ad spend.</x:t>
        </x:r>
      </x:text>
    </x:comment>
    <x:comment ref="C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Institutional/bulk unit share. Review before committing stock or ad spend.</x:t>
        </x:r>
      </x:text>
    </x:comment>
    <x:comment ref="D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Institutional/bulk unit share. Review before committing stock or ad spend.</x:t>
        </x:r>
      </x:text>
    </x:comment>
    <x:comment ref="B1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unit share. Review before committing stock or ad spend.</x:t>
        </x:r>
      </x:text>
    </x:comment>
    <x:comment ref="C10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unit share. Review before committing stock or ad spend.</x:t>
        </x:r>
      </x:text>
    </x:comment>
    <x:comment ref="D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unit share. Review before committing stock or ad spend.</x:t>
        </x:r>
      </x:text>
    </x:comment>
    <x:comment ref="B1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unit share. Review before committing stock or ad spend.</x:t>
        </x:r>
      </x:text>
    </x:comment>
    <x:comment ref="C1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unit share. Review before committing stock or ad spend.</x:t>
        </x:r>
      </x:text>
    </x:comment>
    <x:comment ref="D1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unit share. Review before committing stock or ad spend.</x:t>
        </x:r>
      </x:text>
    </x:comment>
    <x:comment ref="B1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retained books per customer/order. Review before committing stock or ad spend.</x:t>
        </x:r>
      </x:text>
    </x:comment>
    <x:comment ref="C1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retained books per customer/order. Review before committing stock or ad spend.</x:t>
        </x:r>
      </x:text>
    </x:comment>
    <x:comment ref="D1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retained books per customer/order. Review before committing stock or ad spend.</x:t>
        </x:r>
      </x:text>
    </x:comment>
    <x:comment ref="B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incremental CAC; paid/referral blended. Review before committing stock or ad spend.</x:t>
        </x:r>
      </x:text>
    </x:comment>
    <x:comment ref="C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incremental CAC; paid/referral blended. Review before committing stock or ad spend.</x:t>
        </x:r>
      </x:text>
    </x:comment>
    <x:comment ref="D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incremental CAC; paid/referral blended. Review before committing stock or ad spend.</x:t>
        </x:r>
      </x:text>
    </x:comment>
    <x:comment ref="B14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courier per order. Review before committing stock or ad spend.</x:t>
        </x:r>
      </x:text>
    </x:comment>
    <x:comment ref="C1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courier per order. Review before committing stock or ad spend.</x:t>
        </x:r>
      </x:text>
    </x:comment>
    <x:comment ref="D14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courier per order. Review before committing stock or ad spend.</x:t>
        </x:r>
      </x:text>
    </x:comment>
    <x:comment ref="B15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Packaging per DTC order / marketplace unit. Review before committing stock or ad spend.</x:t>
        </x:r>
      </x:text>
    </x:comment>
    <x:comment ref="C15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Packaging per DTC order / marketplace unit. Review before committing stock or ad spend.</x:t>
        </x:r>
      </x:text>
    </x:comment>
    <x:comment ref="D15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Packaging per DTC order / marketplace unit. Review before committing stock or ad spend.</x:t>
        </x:r>
      </x:text>
    </x:comment>
    <x:comment ref="B16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freight per book. Review before committing stock or ad spend.</x:t>
        </x:r>
      </x:text>
    </x:comment>
    <x:comment ref="C16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freight per book. Review before committing stock or ad spend.</x:t>
        </x:r>
      </x:text>
    </x:comment>
    <x:comment ref="D16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freight per book. Review before committing stock or ad spend.</x:t>
        </x:r>
      </x:text>
    </x:comment>
    <x:comment ref="B17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freight per book. Review before committing stock or ad spend.</x:t>
        </x:r>
      </x:text>
    </x:comment>
    <x:comment ref="C1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freight per book. Review before committing stock or ad spend.</x:t>
        </x:r>
      </x:text>
    </x:comment>
    <x:comment ref="D1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freight per book. Review before committing stock or ad spend.</x:t>
        </x:r>
      </x:text>
    </x:comment>
    <x:comment ref="B1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All-in marketplace selling/closing/fulfillment cash fee. Review before committing stock or ad spend.</x:t>
        </x:r>
      </x:text>
    </x:comment>
    <x:comment ref="C1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All-in marketplace selling/closing/fulfillment cash fee. Review before committing stock or ad spend.</x:t>
        </x:r>
      </x:text>
    </x:comment>
    <x:comment ref="D18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All-in marketplace selling/closing/fulfillment cash fee. Review before committing stock or ad spend.</x:t>
        </x:r>
      </x:text>
    </x:comment>
    <x:comment ref="B19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advertising per retained book. Review before committing stock or ad spend.</x:t>
        </x:r>
      </x:text>
    </x:comment>
    <x:comment ref="C19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advertising per retained book. Review before committing stock or ad spend.</x:t>
        </x:r>
      </x:text>
    </x:comment>
    <x:comment ref="D19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advertising per retained book. Review before committing stock or ad spend.</x:t>
        </x:r>
      </x:text>
    </x:comment>
    <x:comment ref="B20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field servicing / partner acquisition. Review before committing stock or ad spend.</x:t>
        </x:r>
      </x:text>
    </x:comment>
    <x:comment ref="C20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field servicing / partner acquisition. Review before committing stock or ad spend.</x:t>
        </x:r>
      </x:text>
    </x:comment>
    <x:comment ref="D20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field servicing / partner acquisition. Review before committing stock or ad spend.</x:t>
        </x:r>
      </x:text>
    </x:comment>
    <x:comment ref="B21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field servicing cost. Review before committing stock or ad spend.</x:t>
        </x:r>
      </x:text>
    </x:comment>
    <x:comment ref="C21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field servicing cost. Review before committing stock or ad spend.</x:t>
        </x:r>
      </x:text>
    </x:comment>
    <x:comment ref="D21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field servicing cost. Review before committing stock or ad spend.</x:t>
        </x:r>
      </x:text>
    </x:comment>
    <x:comment ref="B22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reverse-logistics/chargeback reserve. Review before committing stock or ad spend.</x:t>
        </x:r>
      </x:text>
    </x:comment>
    <x:comment ref="C22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reverse-logistics/chargeback reserve. Review before committing stock or ad spend.</x:t>
        </x:r>
      </x:text>
    </x:comment>
    <x:comment ref="D2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DTC reverse-logistics/chargeback reserve. Review before committing stock or ad spend.</x:t>
        </x:r>
      </x:text>
    </x:comment>
    <x:comment ref="B23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leakage/collections reserve. Review before committing stock or ad spend.</x:t>
        </x:r>
      </x:text>
    </x:comment>
    <x:comment ref="C2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leakage/collections reserve. Review before committing stock or ad spend.</x:t>
        </x:r>
      </x:text>
    </x:comment>
    <x:comment ref="D23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Bulk leakage/collections reserve. Review before committing stock or ad spend.</x:t>
        </x:r>
      </x:text>
    </x:comment>
    <x:comment ref="B24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bad debt/claims reserve. Review before committing stock or ad spend.</x:t>
        </x:r>
      </x:text>
    </x:comment>
    <x:comment ref="C24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bad debt/claims reserve. Review before committing stock or ad spend.</x:t>
        </x:r>
      </x:text>
    </x:comment>
    <x:comment ref="D24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Trade bad debt/claims reserve. Review before committing stock or ad spend.</x:t>
        </x:r>
      </x:text>
    </x:comment>
    <x:comment ref="B25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reverse-logistics reserve. Review before committing stock or ad spend.</x:t>
        </x:r>
      </x:text>
    </x:comment>
    <x:comment ref="C25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reverse-logistics reserve. Review before committing stock or ad spend.</x:t>
        </x:r>
      </x:text>
    </x:comment>
    <x:comment ref="D25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Marketplace reverse-logistics reserve. Review before committing stock or ad spend.</x:t>
        </x:r>
      </x:text>
    </x:comment>
    <x:comment ref="B26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Book entitlement activation rate. Review before committing stock or ad spend.</x:t>
        </x:r>
      </x:text>
    </x:comment>
    <x:comment ref="C26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Book entitlement activation rate. Review before committing stock or ad spend.</x:t>
        </x:r>
      </x:text>
    </x:comment>
    <x:comment ref="D26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Book entitlement activation rate. Review before committing stock or ad spend.</x:t>
        </x:r>
      </x:text>
    </x:comment>
    <x:comment ref="B27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Service/OTP/support per retained book. Review before committing stock or ad spend.</x:t>
        </x:r>
      </x:text>
    </x:comment>
    <x:comment ref="C27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Service/OTP/support per retained book. Review before committing stock or ad spend.</x:t>
        </x:r>
      </x:text>
    </x:comment>
    <x:comment ref="D27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Service/OTP/support per retained book. Review before committing stock or ad spend.</x:t>
        </x:r>
      </x:text>
    </x:comment>
    <x:comment ref="B28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Retained copies / all copies printed. Review before committing stock or ad spend.</x:t>
        </x:r>
      </x:text>
    </x:comment>
    <x:comment ref="C28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Retained copies / all copies printed. Review before committing stock or ad spend.</x:t>
        </x:r>
      </x:text>
    </x:comment>
    <x:comment ref="D28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planning assumption. Retained copies / all copies printed. Review before committing stock or ad spend.</x:t>
        </x:r>
      </x:text>
    </x:comment>
  </x:commentList>
</x:comments>
</file>

<file path=xl/comments4.xml><?xml version="1.0" encoding="utf-8"?>
<x:comments xmlns:x="http://schemas.openxmlformats.org/spreadsheetml/2006/main">
  <x:authors>
    <x:author>tc={D7C268A5-8A69-4722-BEF2-EDCD3FC14E92}</x:author>
    <x:author>tc={F4D08DA9-FEE5-4A7F-BF43-AD95C5081BCE}</x:author>
    <x:author>tc={D6076E0E-267A-4206-9151-9E2BA05EDA3B}</x:author>
    <x:author>tc={3D3CD94A-1C70-42D8-8DEA-ED9AC6B67F8A}</x:author>
    <x:author>tc={6193C0BA-ED72-42A1-B3B0-BD35DCF1009C}</x:author>
    <x:author>tc={EAC15014-C90F-4C1B-A3F5-873E8DAF01C6}</x:author>
    <x:author>tc={CEB97232-EF23-439E-B4E7-5F89514D86B4}</x:author>
    <x:author>tc={5D91DB79-F1EE-4C2F-A46B-09FEAC2C5630}</x:author>
    <x:author>tc={33CB25D1-A4B7-49BC-9E6D-7E15ACAF8624}</x:author>
    <x:author>tc={CE25D454-1109-4CD8-9457-FF051D40653C}</x:author>
    <x:author>tc={6A13F77F-3CA5-47FC-9645-F0E2F7060E61}</x:author>
    <x:author>tc={F358C188-0327-4E16-A096-6DD1B144C8C8}</x:author>
    <x:author>tc={0549B188-B891-4302-9142-40D968D48902}</x:author>
    <x:author>tc={B092404A-A34A-4122-9253-AA7F9B2C29D1}</x:author>
    <x:author>tc={5BDC26DA-57F1-4FB1-901B-D0BD5759421A}</x:author>
    <x:author>tc={317189DA-D21D-4484-88F7-12760054C5DB}</x:author>
    <x:author>tc={3B9D622B-D9D2-491E-BF1C-1F72E34EC9DD}</x:author>
    <x:author>tc={B7CC6BC3-E3BB-4F74-AE5E-B458A77472EC}</x:author>
    <x:author>tc={7E868906-202B-41BB-A159-75707F23E837}</x:author>
    <x:author>tc={6FDF2F07-6AC6-4F50-8419-4F5A1596F88F}</x:author>
    <x:author>tc={45F94E2E-BBBE-409C-AE0B-9A838347241B}</x:author>
    <x:author>tc={408EC221-1E51-41BC-A6B5-7699CB740846}</x:author>
    <x:author>tc={02235CBB-98E4-4B28-90D6-5E3E20AD549E}</x:author>
    <x:author>tc={F4B6AA15-73B6-4E8D-BF4E-D516B9A6EFCF}</x:author>
    <x:author>tc={932A3031-D745-42D6-BE2A-FB8D5D6C2C11}</x:author>
    <x:author>tc={7BB86782-9275-45B0-AFBA-9B60F9446B84}</x:author>
    <x:author>tc={D2EB8FBC-2A69-4CB7-AD5B-30567CA01B89}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1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10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1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1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1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B1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C1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  <x:comment ref="D1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assumption, not an obtained quotation or demand forecast. Printing economies depend on copies PER SKU and batch, not aggregate sales.</x:t>
        </x:r>
      </x:text>
    </x:comment>
  </x:commentList>
</x:comments>
</file>

<file path=xl/comments5.xml><?xml version="1.0" encoding="utf-8"?>
<x:comments xmlns:x="http://schemas.openxmlformats.org/spreadsheetml/2006/main">
  <x:authors>
    <x:author>tc={24B9EAB8-B05A-42DB-8344-6C5EC4A0D86C}</x:author>
    <x:author>tc={B9073AF2-EED0-450F-82F1-8A5FA1860815}</x:author>
    <x:author>tc={EE4CE301-BCCF-4099-B2A1-D08FD43BF1D1}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price tests; no established elasticity or conversion lift assumed.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Incremental per-customer acquisition cost sensitivity, not observed ExamLeaf costs.</x:t>
        </x:r>
      </x:text>
    </x:comment>
    <x:comment ref="B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target of INR100 contribution per book, not a market norm.</x:t>
        </x:r>
      </x:text>
    </x:comment>
  </x:commentList>
</x:comments>
</file>

<file path=xl/comments6.xml><?xml version="1.0" encoding="utf-8"?>
<x:comments xmlns:x="http://schemas.openxmlformats.org/spreadsheetml/2006/main">
  <x:authors>
    <x:author>tc={12C122AB-A6E3-4F1C-91F6-B0CCC2166971}</x:author>
    <x:author>tc={39680D35-BDB2-4AC0-9E6D-7554A61323CA}</x:author>
    <x:author>tc={67ABF03E-B08B-4E00-8EA2-AACDFF5DD42B}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funnel assumptions, not platform benchmarks. Deduplicate and validate denominators.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order/bulk/outlet productivity assumptions; not signed partner commitments.</x:t>
        </x:r>
      </x:text>
    </x:comment>
    <x:comment ref="B2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Conversion sensitivity; not guaranteed rates.</x:t>
        </x:r>
      </x:text>
    </x:comment>
  </x:commentList>
</x:comments>
</file>

<file path=xl/comments7.xml><?xml version="1.0" encoding="utf-8"?>
<x:comments xmlns:x="http://schemas.openxmlformats.org/spreadsheetml/2006/main">
  <x:authors>
    <x:author>tc={ACBB99B7-0D4D-4083-A03E-26CFC20D74A1}</x:author>
    <x:author>tc={97E627E7-1DF6-49CB-BA02-39C14B753D53}</x:author>
    <x:author>tc={62A8D707-1A27-41F9-BA6C-A2607A715DE6}</x:author>
    <x:author>tc={29EC5BFD-AE01-4A24-82D7-D17F0074CD34}</x:author>
    <x:author>tc={13D607A7-C471-4A68-B030-9F4BB873AF84}</x:author>
    <x:author>tc={8152861F-6CEB-4F91-AD5E-F5AE9C19DC7A}</x:author>
    <x:author>tc={35ECB150-153D-4680-842D-8392834A3EC2}</x:author>
    <x:author>tc={E799409E-461C-43C3-A8E0-2D75D5F465D2}</x:author>
    <x:author>tc={2F7D55A6-533C-49CA-8B41-104DDC24D015}</x:author>
    <x:author>tc={479EE58F-42FD-4E4C-81CA-2208526F11D8}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Contract authoring and subject review; source rights required.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Do not replace quality checks with generated layouts.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Pilot: 40 x INR 3,000, including allocated human review and machine costs; reusable 2D templates.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Fixed organic acquisition cost; excluded from incremental CAC but included in profit.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Lean existing-commerce stack; no custom native app.</x:t>
        </x:r>
      </x:text>
    </x:comment>
    <x:comment ref="B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Video delivery is separately reserved per activated book.</x:t>
        </x:r>
      </x:text>
    </x:comment>
    <x:comment ref="B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Allocated project/season workload, not a promise of unlimited full-time staffing.</x:t>
        </x:r>
      </x:text>
    </x:comment>
    <x:comment ref="B1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GST classification and minors/privacy review are launch gates.</x:t>
        </x:r>
      </x:text>
    </x:comment>
    <x:comment ref="B1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Fixed launch work; per-sale field servicing also separately modeled.</x:t>
        </x:r>
      </x:text>
    </x:comment>
    <x:comment ref="B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allocation, not a supplier or employment quote. Expected spending allowance; funding headroom is additional liquidity, not P&amp;L expense.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&quot;-&quot;"/>
    <x:numFmt numFmtId="201" formatCode="0.0%;[Red](0.0%);&quot;-&quot;"/>
    <x:numFmt numFmtId="202" formatCode="#,##0;[Red](#,##0);&quot;-&quot;"/>
  </x:numFmts>
  <x:fonts count="9">
    <x:font>
      <x:sz val="11"/>
      <x:name val="Carlito"/>
    </x:font>
    <x:font>
      <x:sz val="11"/>
      <x:color rgb="FF14213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14213D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087986"/>
      </x:patternFill>
    </x:fill>
    <x:fill>
      <x:patternFill patternType="solid">
        <x:fgColor rgb="FFFFF4CF"/>
      </x:patternFill>
    </x:fill>
    <x:fill>
      <x:patternFill patternType="solid">
        <x:fgColor rgb="FFF0F5FA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200" fontId="8" fillId="5" borderId="1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2" fontId="8" fillId="5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4a227e7f64680" /><Relationship Type="http://schemas.openxmlformats.org/officeDocument/2006/relationships/theme" Target="/xl/theme/theme1.xml" Id="Read07a26c99f40b9" /><Relationship Type="http://schemas.openxmlformats.org/officeDocument/2006/relationships/sharedStrings" Target="/xl/sharedStrings.xml" Id="R7e54e3eb1d0d438e" /><Relationship Type="http://schemas.openxmlformats.org/officeDocument/2006/relationships/worksheet" Target="/xl/worksheets/sheet1.xml" Id="Rd6b8ff37b359437b" /><Relationship Type="http://schemas.openxmlformats.org/officeDocument/2006/relationships/worksheet" Target="/xl/worksheets/sheet2.xml" Id="R27fad905e91a452b" /><Relationship Type="http://schemas.openxmlformats.org/officeDocument/2006/relationships/worksheet" Target="/xl/worksheets/sheet3.xml" Id="R264265abb3dc4efd" /><Relationship Type="http://schemas.openxmlformats.org/officeDocument/2006/relationships/worksheet" Target="/xl/worksheets/sheet4.xml" Id="Radec4d28f100488a" /><Relationship Type="http://schemas.openxmlformats.org/officeDocument/2006/relationships/worksheet" Target="/xl/worksheets/sheet5.xml" Id="Rf6ea382ad0054013" /><Relationship Type="http://schemas.openxmlformats.org/officeDocument/2006/relationships/worksheet" Target="/xl/worksheets/sheet6.xml" Id="R5a716ddd62254420" /><Relationship Type="http://schemas.openxmlformats.org/officeDocument/2006/relationships/worksheet" Target="/xl/worksheets/sheet7.xml" Id="Rf5bb74ab771f4416" /><Relationship Type="http://schemas.openxmlformats.org/officeDocument/2006/relationships/worksheet" Target="/xl/worksheets/sheet8.xml" Id="R54c93344f86b4efc" /><Relationship Type="http://schemas.openxmlformats.org/officeDocument/2006/relationships/worksheet" Target="/xl/worksheets/sheet9.xml" Id="R463ea8d7700342bd" /><Relationship Type="http://schemas.openxmlformats.org/officeDocument/2006/relationships/worksheet" Target="/xl/worksheets/sheet10.xml" Id="Rbe0f2207efbf44a1" /><Relationship Type="http://schemas.openxmlformats.org/officeDocument/2006/relationships/worksheet" Target="/xl/worksheets/sheet11.xml" Id="R9750a5b4616a4613" /><Relationship Type="http://schemas.openxmlformats.org/officeDocument/2006/relationships/worksheet" Target="/xl/worksheets/sheet12.xml" Id="R9bf7956e21434a04" /><Relationship Type="http://schemas.openxmlformats.org/officeDocument/2006/relationships/worksheet" Target="/xl/worksheets/sheet13.xml" Id="R7f51f42fda6a4d04" /><Relationship Type="http://schemas.openxmlformats.org/officeDocument/2006/relationships/worksheet" Target="/xl/worksheets/sheet14.xml" Id="Rd59c060488694dd9" /><Relationship Type="http://schemas.openxmlformats.org/officeDocument/2006/relationships/worksheet" Target="/xl/worksheets/sheet15.xml" Id="R99fc17b6582845de" /><Relationship Type="http://schemas.microsoft.com/office/2017/10/relationships/person" Target="/xl/persons/person.xml" Id="R5567499207b34f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2fe1b7e8b2494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Conservative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'Dashboard'!$B$19:$B$21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'Dashboard'!$C$19:$C$21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Optimistic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'Dashboard'!$D$19:$D$21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2fe1b7e8b2494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xamLeaf Planning" id="{90A57DE9-DFBB-42B0-BF5B-05819A6A2020}"/>
  <xltc:person displayName="ExamLeaf Planning" id="{74F5F98C-283C-46D2-851C-4E26EDAE996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10-13T09:50:00.274" personId="{90A57DE9-DFBB-42B0-BF5B-05819A6A2020}" id="{7C939C50-241A-4D76-A580-C223F122D345}">
    <xltc:text>Tax input is an explicit planning assumption, not a legal opinion. Get a written classification review.</xltc:text>
  </xltc:threadedComment>
  <xltc:threadedComment ref="B7" dT="2026-10-13T09:50:13.222" personId="{74F5F98C-283C-46D2-851C-4E26EDAE9963}" id="{42A9349B-8F64-42CA-8D40-8800971400C0}">
    <xltc:text>Planning assumption only. GST treatment of the marketed book-and-video package must be reviewed. Source: https://gstcouncil.gov.in/sites/default/files/e-version-gst-flyers/Composite%20supply%20%26%20Mixed%20Supply-050819.pdf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10-13T09:50:13.293" personId="{74F5F98C-283C-46D2-851C-4E26EDAE9963}" id="{48F292C3-A1C3-4BD1-A0E9-4AE684CD0CE2}">
    <xltc:text>Source: Planning assumption. Proposed test price, not observed ExamLeaf sales.</xltc:text>
  </xltc:threadedComment>
  <xltc:threadedComment ref="B5" dT="2026-10-13T09:50:13.309" personId="{74F5F98C-283C-46D2-851C-4E26EDAE9963}" id="{873F122E-29B4-446F-8B9A-AD4837C8C4DB}">
    <xltc:text>Source: https://gstcouncil.gov.in/sites/default/files/e-version-gst-flyers/Composite%20supply%20%26%20Mixed%20Supply-050819.pdf. Prudent 18% stress/base tax input, NOT legal classification. All cases use it.</xltc:text>
  </xltc:threadedComment>
  <xltc:threadedComment ref="B6" dT="2026-10-13T09:50:13.322" personId="{74F5F98C-283C-46D2-851C-4E26EDAE9963}" id="{89608157-DE8A-4CC3-8E40-0A23FBFD0429}">
    <xltc:text>Source: https://razorpay.com/pricing/. Standard domestic pricing; promotional free period excluded.</xltc:text>
  </xltc:threadedComment>
  <xltc:threadedComment ref="B7" dT="2026-10-13T09:50:13.334" personId="{74F5F98C-283C-46D2-851C-4E26EDAE9963}" id="{1CBA490F-D0EC-4AE9-BBCB-B7582D645608}">
    <xltc:text>Source: https://razorpay.com/pricing/. Applied to gateway service fee; no input credit assumed.</xltc:text>
  </xltc:threadedComment>
  <xltc:threadedComment ref="B8" dT="2026-10-13T09:50:13.352" personId="{74F5F98C-283C-46D2-851C-4E26EDAE9963}" id="{C9FB6893-1FE5-409E-8C9A-8D9BC2364AD3}">
    <xltc:text>Source: Planning assumption. Budget buffer, NOT a current FX quote.</xltc:text>
  </xltc:threadedComment>
  <xltc:threadedComment ref="B9" dT="2026-10-13T09:50:13.366" personId="{74F5F98C-283C-46D2-851C-4E26EDAE9963}" id="{3CC9698A-C842-4696-ADF4-1FFFEF25009B}">
    <xltc:text>Source: https://developers.cloudflare.com/stream/pricing/. Published usage price; storage separate in fixed infrastructure.</xltc:text>
  </xltc:threadedComment>
  <xltc:threadedComment ref="B10" dT="2026-10-13T09:50:13.38" personId="{74F5F98C-283C-46D2-851C-4E26EDAE9963}" id="{6BCDBAE6-84A9-4CD5-B02F-607E7BC0B829}">
    <xltc:text>Source: Planning assumption. Lifetime-of-edition delivery reserve, including repeat viewing; not just first month.</xltc:text>
  </xltc:threadedComment>
  <xltc:threadedComment ref="B11" dT="2026-10-13T09:50:13.393" personId="{74F5F98C-283C-46D2-851C-4E26EDAE9963}" id="{A6976BFB-D239-4426-8632-97271E0A3FA6}">
    <xltc:text>Source: Planning assumption. Prudent cash-cost allowance; actual invoice/credit treatment to be checked.</xltc:text>
  </xltc:threadedComment>
  <xltc:threadedComment ref="B12" dT="2026-10-13T09:50:13.414" personId="{74F5F98C-283C-46D2-851C-4E26EDAE9963}" id="{49A6EB91-2669-4927-B178-F3680C1469E9}">
    <xltc:text>Source: Planning assumption. Added to modeled peak cash deficit, not expensed in P&amp;L.</xltc:text>
  </xltc:threadedComment>
  <xltc:threadedComment ref="B13" dT="2026-10-13T09:50:13.434" personId="{74F5F98C-283C-46D2-851C-4E26EDAE9963}" id="{77570EAC-3FEA-45BB-8C1B-7CFAA322B1AF}">
    <xltc:text>Source: Planning assumption. One-time edition access; no assumed digital revenue in book scenarios.</xltc:text>
  </xltc:threadedComment>
  <xltc:threadedComment ref="B14" dT="2026-10-13T09:50:13.447" personId="{74F5F98C-283C-46D2-851C-4E26EDAE9963}" id="{3E857051-A8B8-4036-A8FC-71C80E7E979A}">
    <xltc:text>Source: Planning assumption. 50% one month before receipt; balance on receipt. Obtain written terms.</xltc:text>
  </xltc:threadedComment>
  <xltc:threadedComment ref="B15" dT="2026-10-13T09:50:13.459" personId="{74F5F98C-283C-46D2-851C-4E26EDAE9963}" id="{7D0A2026-FEA8-4CD7-96E3-9C8D5FFDB678}">
    <xltc:text>Source: Planning assumption. Print receipts in months 2, 4 and 5; other lots are 35% and remainder.</xltc:text>
  </xltc:threadedComment>
  <xltc:threadedComment ref="B16" dT="2026-10-13T09:50:13.474" personId="{74F5F98C-283C-46D2-851C-4E26EDAE9963}" id="{5A421E95-7B09-4F48-964A-F1651E525EC0}">
    <xltc:text>Source: Planning assumption. Inventory is not all printed upfront.</xltc:text>
  </xltc:threadedComment>
  <xltc:threadedComment ref="B17" dT="2026-10-13T09:50:13.487" personId="{74F5F98C-283C-46D2-851C-4E26EDAE9963}" id="{DD0B1E04-0F65-4B47-91C3-69488293C6D0}">
    <xltc:text>Source: Planning assumption. Incremental paid/referral acquisition, excludes fixed organic production.</xltc:text>
  </xltc:threadedComment>
  <xltc:threadedComment ref="B18" dT="2026-10-13T09:50:13.5" personId="{74F5F98C-283C-46D2-851C-4E26EDAE9963}" id="{3B809216-12B1-406A-9043-5796F356565D}">
    <xltc:text>Source: Planning assumption. Provision for user support and refund leakage, not unlimited support.</xltc:text>
  </xltc:threadedComment>
  <xltc:threadedComment ref="B19" dT="2026-10-13T09:50:13.517" personId="{74F5F98C-283C-46D2-851C-4E26EDAE9963}" id="{A10AFBCC-520D-4714-9674-F9A2BFC6E48D}">
    <xltc:text>Source: Planning assumption. Digital purchasers conservatively assumed active.</xltc:text>
  </xltc:threadedComment>
  <xltc:threadedComment ref="B20" dT="2026-10-13T09:50:13.531" personId="{74F5F98C-283C-46D2-851C-4E26EDAE9963}" id="{629094BE-8629-45BA-A4FB-8926CF1B8A7D}">
    <xltc:text>Source: Planning assumption. Standard-service delivered price; disclose remote-area exceptions before payment.</xltc:text>
  </xltc:threadedComment>
  <xltc:threadedComment ref="B21" dT="2026-10-13T09:50:13.545" personId="{74F5F98C-283C-46D2-851C-4E26EDAE9963}" id="{ABB0E2C3-3535-406C-9EA6-F0F8E8CEBA8F}">
    <xltc:text>Source: Planning assumption. Customer offer; actual realized per-book input reflects coupons and order mix.</xltc:text>
  </xltc:threadedComment>
  <xltc:threadedComment ref="B22" dT="2026-10-13T09:50:13.559" personId="{74F5F98C-283C-46D2-851C-4E26EDAE9963}" id="{78641CB0-F7DD-45DD-9568-ED125AC39D83}">
    <xltc:text>Source: Planning assumption. Check physical pagination before a fixed page commitment.</xltc:text>
  </xltc:threadedComment>
  <xltc:threadedComment ref="B23" dT="2026-10-13T09:50:13.574" personId="{74F5F98C-283C-46D2-851C-4E26EDAE9963}" id="{FAE79E27-9F01-43FD-B6AE-22FAB618655B}">
    <xltc:text>Source: Planning assumption. Proposed 7 x 10 inch interior.</xltc:text>
  </xltc:threadedComment>
  <xltc:threadedComment ref="B24" dT="2026-10-13T09:50:13.589" personId="{74F5F98C-283C-46D2-851C-4E26EDAE9963}" id="{3B0409C1-F655-4680-A21C-140522F463D6}">
    <xltc:text>Source: Planning assumption. Proposed 7 x 10 inch interior.</xltc:text>
  </xltc:threadedComment>
  <xltc:threadedComment ref="B25" dT="2026-10-13T09:50:13.604" personId="{74F5F98C-283C-46D2-851C-4E26EDAE9963}" id="{1B811C36-7772-4505-B41E-D71FDF56DF59}">
    <xltc:text>Source: Planning assumption. Compare opacity and writing comfort on actual proofs.</xltc:text>
  </xltc:threadedComment>
  <xltc:threadedComment ref="B26" dT="2026-10-13T09:50:13.62" personId="{74F5F98C-283C-46D2-851C-4E26EDAE9963}" id="{74691B32-AD88-488B-B615-AEC829528004}">
    <xltc:text>Source: Definition. Exact conversion.</xltc:text>
  </xltc:threadedComment>
  <xltc:threadedComment ref="B33" dT="2026-10-13T09:52:13.149" personId="{74F5F98C-283C-46D2-851C-4E26EDAE9963}" id="{B8601EF8-0EDD-40DC-B512-9BD83CDC427A}">
    <xltc:text>Seasonality is an illustrative planning distribution. Set actual board deadlines, title readiness and order pipeline; no official exam date is assumed.</xltc:text>
  </xltc:threadedComment>
  <xltc:threadedComment ref="C33" dT="2026-10-13T09:52:13.164" personId="{74F5F98C-283C-46D2-851C-4E26EDAE9963}" id="{94F6744A-DD57-41D9-88F1-1E1E33E92773}">
    <xltc:text>Seasonality is an illustrative planning distribution. Set actual board deadlines, title readiness and order pipeline; no official exam date is assumed.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10-13T09:50:13.695" personId="{74F5F98C-283C-46D2-851C-4E26EDAE9963}" id="{2BD26F4B-0A74-491C-B629-7B0991E09430}">
    <xltc:text>Unquoted planning assumption. DTC realized per book, after bundle/coupon mix. Review before committing stock or ad spend.</xltc:text>
  </xltc:threadedComment>
  <xltc:threadedComment ref="C4" dT="2026-10-13T09:50:13.71" personId="{74F5F98C-283C-46D2-851C-4E26EDAE9963}" id="{02A8CE3D-FFD5-492E-BD7C-2E74EAC44013}">
    <xltc:text>Unquoted planning assumption. DTC realized per book, after bundle/coupon mix. Review before committing stock or ad spend.</xltc:text>
  </xltc:threadedComment>
  <xltc:threadedComment ref="D4" dT="2026-10-13T09:50:13.728" personId="{74F5F98C-283C-46D2-851C-4E26EDAE9963}" id="{E1286798-BE73-4442-BB5B-25639E2AEB87}">
    <xltc:text>Unquoted planning assumption. DTC realized per book, after bundle/coupon mix. Review before committing stock or ad spend.</xltc:text>
  </xltc:threadedComment>
  <xltc:threadedComment ref="B5" dT="2026-10-13T09:50:13.746" personId="{74F5F98C-283C-46D2-851C-4E26EDAE9963}" id="{3EC84875-CFFD-4635-BAB5-BE1130F00D0C}">
    <xltc:text>Unquoted planning assumption. Marketplace selling price. Review before committing stock or ad spend.</xltc:text>
  </xltc:threadedComment>
  <xltc:threadedComment ref="C5" dT="2026-10-13T09:50:13.765" personId="{74F5F98C-283C-46D2-851C-4E26EDAE9963}" id="{D4380899-A0C1-4B67-B3F4-AB7A872C89DD}">
    <xltc:text>Unquoted planning assumption. Marketplace selling price. Review before committing stock or ad spend.</xltc:text>
  </xltc:threadedComment>
  <xltc:threadedComment ref="D5" dT="2026-10-13T09:50:13.781" personId="{74F5F98C-283C-46D2-851C-4E26EDAE9963}" id="{58982772-1FC5-49EC-A703-D05D8CDF51B5}">
    <xltc:text>Unquoted planning assumption. Marketplace selling price. Review before committing stock or ad spend.</xltc:text>
  </xltc:threadedComment>
  <xltc:threadedComment ref="B6" dT="2026-10-13T09:50:13.795" personId="{74F5F98C-283C-46D2-851C-4E26EDAE9963}" id="{1C9502FC-B180-4E69-A448-4AC016AA72E4}">
    <xltc:text>Unquoted planning assumption. Bulk discount from MRP. Review before committing stock or ad spend.</xltc:text>
  </xltc:threadedComment>
  <xltc:threadedComment ref="C6" dT="2026-10-13T09:50:13.81" personId="{74F5F98C-283C-46D2-851C-4E26EDAE9963}" id="{D43A296E-B88A-4874-968F-8E711F1F7ABD}">
    <xltc:text>Unquoted planning assumption. Bulk discount from MRP. Review before committing stock or ad spend.</xltc:text>
  </xltc:threadedComment>
  <xltc:threadedComment ref="D6" dT="2026-10-13T09:50:13.826" personId="{74F5F98C-283C-46D2-851C-4E26EDAE9963}" id="{DDEFA643-68C3-4D0A-AD33-9F027AC82782}">
    <xltc:text>Unquoted planning assumption. Bulk discount from MRP. Review before committing stock or ad spend.</xltc:text>
  </xltc:threadedComment>
  <xltc:threadedComment ref="B7" dT="2026-10-13T09:50:13.84" personId="{74F5F98C-283C-46D2-851C-4E26EDAE9963}" id="{32B4C94D-CE39-4AD7-9CE1-ED2494437CA3}">
    <xltc:text>Unquoted planning assumption. Combined distributor/retailer discount from MRP. Review before committing stock or ad spend.</xltc:text>
  </xltc:threadedComment>
  <xltc:threadedComment ref="C7" dT="2026-10-13T09:50:13.853" personId="{74F5F98C-283C-46D2-851C-4E26EDAE9963}" id="{B65E6376-315C-4D11-8092-3012C852E2AB}">
    <xltc:text>Unquoted planning assumption. Combined distributor/retailer discount from MRP. Review before committing stock or ad spend.</xltc:text>
  </xltc:threadedComment>
  <xltc:threadedComment ref="D7" dT="2026-10-13T09:50:13.864" personId="{74F5F98C-283C-46D2-851C-4E26EDAE9963}" id="{D4652C39-C4C7-4997-95E9-BC63D7C21C59}">
    <xltc:text>Unquoted planning assumption. Combined distributor/retailer discount from MRP. Review before committing stock or ad spend.</xltc:text>
  </xltc:threadedComment>
  <xltc:threadedComment ref="B8" dT="2026-10-13T09:50:13.878" personId="{74F5F98C-283C-46D2-851C-4E26EDAE9963}" id="{B94D8829-2C35-49E3-AE64-DAC3F71FB994}">
    <xltc:text>Unquoted planning assumption. Direct-to-consumer unit share. Review before committing stock or ad spend.</xltc:text>
  </xltc:threadedComment>
  <xltc:threadedComment ref="C8" dT="2026-10-13T09:50:13.891" personId="{74F5F98C-283C-46D2-851C-4E26EDAE9963}" id="{222BB4E9-48F6-4A41-92E3-31E7A96DA93C}">
    <xltc:text>Unquoted planning assumption. Direct-to-consumer unit share. Review before committing stock or ad spend.</xltc:text>
  </xltc:threadedComment>
  <xltc:threadedComment ref="D8" dT="2026-10-13T09:50:13.912" personId="{74F5F98C-283C-46D2-851C-4E26EDAE9963}" id="{9FC4C842-DB09-49A4-A1E3-BE848330675F}">
    <xltc:text>Unquoted planning assumption. Direct-to-consumer unit share. Review before committing stock or ad spend.</xltc:text>
  </xltc:threadedComment>
  <xltc:threadedComment ref="B9" dT="2026-10-13T09:50:13.926" personId="{74F5F98C-283C-46D2-851C-4E26EDAE9963}" id="{3EE20520-E917-4C5F-9DAA-114C9F2A8661}">
    <xltc:text>Unquoted planning assumption. Institutional/bulk unit share. Review before committing stock or ad spend.</xltc:text>
  </xltc:threadedComment>
  <xltc:threadedComment ref="C9" dT="2026-10-13T09:50:13.942" personId="{74F5F98C-283C-46D2-851C-4E26EDAE9963}" id="{623939DE-E905-4E16-8DCC-AB2F3D2F98B7}">
    <xltc:text>Unquoted planning assumption. Institutional/bulk unit share. Review before committing stock or ad spend.</xltc:text>
  </xltc:threadedComment>
  <xltc:threadedComment ref="D9" dT="2026-10-13T09:50:13.956" personId="{74F5F98C-283C-46D2-851C-4E26EDAE9963}" id="{5C5CF46C-7B6C-41BB-9C17-26840A7F7726}">
    <xltc:text>Unquoted planning assumption. Institutional/bulk unit share. Review before committing stock or ad spend.</xltc:text>
  </xltc:threadedComment>
  <xltc:threadedComment ref="B10" dT="2026-10-13T09:50:13.97" personId="{74F5F98C-283C-46D2-851C-4E26EDAE9963}" id="{77164143-18CA-43F4-9355-444564633E9D}">
    <xltc:text>Unquoted planning assumption. Trade unit share. Review before committing stock or ad spend.</xltc:text>
  </xltc:threadedComment>
  <xltc:threadedComment ref="C10" dT="2026-10-13T09:50:13.987" personId="{74F5F98C-283C-46D2-851C-4E26EDAE9963}" id="{DAF2BD3F-CC24-4732-AEA2-0B77A041112E}">
    <xltc:text>Unquoted planning assumption. Trade unit share. Review before committing stock or ad spend.</xltc:text>
  </xltc:threadedComment>
  <xltc:threadedComment ref="D10" dT="2026-10-13T09:50:14.002" personId="{74F5F98C-283C-46D2-851C-4E26EDAE9963}" id="{19B0EEAA-FAC7-42CA-AF69-D8BF3F9B63B8}">
    <xltc:text>Unquoted planning assumption. Trade unit share. Review before committing stock or ad spend.</xltc:text>
  </xltc:threadedComment>
  <xltc:threadedComment ref="B11" dT="2026-10-13T09:50:14.018" personId="{74F5F98C-283C-46D2-851C-4E26EDAE9963}" id="{7B47772D-9106-4CED-B57C-54FEB2702C58}">
    <xltc:text>Unquoted planning assumption. Marketplace unit share. Review before committing stock or ad spend.</xltc:text>
  </xltc:threadedComment>
  <xltc:threadedComment ref="C11" dT="2026-10-13T09:50:14.033" personId="{74F5F98C-283C-46D2-851C-4E26EDAE9963}" id="{69309324-C8EF-4BCA-A566-78DA29DDBB0A}">
    <xltc:text>Unquoted planning assumption. Marketplace unit share. Review before committing stock or ad spend.</xltc:text>
  </xltc:threadedComment>
  <xltc:threadedComment ref="D11" dT="2026-10-13T09:50:14.048" personId="{74F5F98C-283C-46D2-851C-4E26EDAE9963}" id="{10F96B4C-2DF6-456B-9C81-55D1798F6614}">
    <xltc:text>Unquoted planning assumption. Marketplace unit share. Review before committing stock or ad spend.</xltc:text>
  </xltc:threadedComment>
  <xltc:threadedComment ref="B12" dT="2026-10-13T09:50:14.06" personId="{74F5F98C-283C-46D2-851C-4E26EDAE9963}" id="{1CF237F4-C245-45FF-A558-2E9254087A01}">
    <xltc:text>Unquoted planning assumption. DTC retained books per customer/order. Review before committing stock or ad spend.</xltc:text>
  </xltc:threadedComment>
  <xltc:threadedComment ref="C12" dT="2026-10-13T09:50:14.074" personId="{74F5F98C-283C-46D2-851C-4E26EDAE9963}" id="{45BB2FD6-1E9A-46F8-8F56-CD86D9C60CE6}">
    <xltc:text>Unquoted planning assumption. DTC retained books per customer/order. Review before committing stock or ad spend.</xltc:text>
  </xltc:threadedComment>
  <xltc:threadedComment ref="D12" dT="2026-10-13T09:50:14.089" personId="{74F5F98C-283C-46D2-851C-4E26EDAE9963}" id="{DB5749B8-DC96-4EC6-A206-5EDC070FEEF2}">
    <xltc:text>Unquoted planning assumption. DTC retained books per customer/order. Review before committing stock or ad spend.</xltc:text>
  </xltc:threadedComment>
  <xltc:threadedComment ref="B13" dT="2026-10-13T09:50:14.103" personId="{74F5F98C-283C-46D2-851C-4E26EDAE9963}" id="{24F03907-37B7-4275-86F9-D1FEECF0E8F8}">
    <xltc:text>Unquoted planning assumption. DTC incremental CAC; paid/referral blended. Review before committing stock or ad spend.</xltc:text>
  </xltc:threadedComment>
  <xltc:threadedComment ref="C13" dT="2026-10-13T09:50:14.116" personId="{74F5F98C-283C-46D2-851C-4E26EDAE9963}" id="{E0FB4A8A-7F7B-4031-AAA3-209BDC9F5190}">
    <xltc:text>Unquoted planning assumption. DTC incremental CAC; paid/referral blended. Review before committing stock or ad spend.</xltc:text>
  </xltc:threadedComment>
  <xltc:threadedComment ref="D13" dT="2026-10-13T09:50:14.129" personId="{74F5F98C-283C-46D2-851C-4E26EDAE9963}" id="{E36E9AB8-A081-419E-BA52-E8E3B4DF5AA6}">
    <xltc:text>Unquoted planning assumption. DTC incremental CAC; paid/referral blended. Review before committing stock or ad spend.</xltc:text>
  </xltc:threadedComment>
  <xltc:threadedComment ref="B14" dT="2026-10-13T09:50:14.142" personId="{74F5F98C-283C-46D2-851C-4E26EDAE9963}" id="{13EE7467-8EBA-4F0A-B737-CCA2F91AD799}">
    <xltc:text>Unquoted planning assumption. DTC courier per order. Review before committing stock or ad spend.</xltc:text>
  </xltc:threadedComment>
  <xltc:threadedComment ref="C14" dT="2026-10-13T09:50:14.155" personId="{74F5F98C-283C-46D2-851C-4E26EDAE9963}" id="{14F56610-157A-424F-B497-282F92CDB057}">
    <xltc:text>Unquoted planning assumption. DTC courier per order. Review before committing stock or ad spend.</xltc:text>
  </xltc:threadedComment>
  <xltc:threadedComment ref="D14" dT="2026-10-13T09:50:14.169" personId="{74F5F98C-283C-46D2-851C-4E26EDAE9963}" id="{C7595E72-28E8-4C88-A13D-4AB54E51E030}">
    <xltc:text>Unquoted planning assumption. DTC courier per order. Review before committing stock or ad spend.</xltc:text>
  </xltc:threadedComment>
  <xltc:threadedComment ref="B15" dT="2026-10-13T09:50:14.185" personId="{74F5F98C-283C-46D2-851C-4E26EDAE9963}" id="{3D48D6BE-DF49-48F6-A850-B7F1DE6D03C7}">
    <xltc:text>Unquoted planning assumption. Packaging per DTC order / marketplace unit. Review before committing stock or ad spend.</xltc:text>
  </xltc:threadedComment>
  <xltc:threadedComment ref="C15" dT="2026-10-13T09:50:14.2" personId="{74F5F98C-283C-46D2-851C-4E26EDAE9963}" id="{FD69A8FB-CC93-4B3C-8159-41F5271FD827}">
    <xltc:text>Unquoted planning assumption. Packaging per DTC order / marketplace unit. Review before committing stock or ad spend.</xltc:text>
  </xltc:threadedComment>
  <xltc:threadedComment ref="D15" dT="2026-10-13T09:50:14.215" personId="{74F5F98C-283C-46D2-851C-4E26EDAE9963}" id="{816EED02-9242-4CA0-BEBC-FA9A4A1CA7BD}">
    <xltc:text>Unquoted planning assumption. Packaging per DTC order / marketplace unit. Review before committing stock or ad spend.</xltc:text>
  </xltc:threadedComment>
  <xltc:threadedComment ref="B16" dT="2026-10-13T09:50:14.228" personId="{74F5F98C-283C-46D2-851C-4E26EDAE9963}" id="{B4600BB3-25A8-4B60-9016-26BD8CE4EF54}">
    <xltc:text>Unquoted planning assumption. Bulk freight per book. Review before committing stock or ad spend.</xltc:text>
  </xltc:threadedComment>
  <xltc:threadedComment ref="C16" dT="2026-10-13T09:50:14.241" personId="{74F5F98C-283C-46D2-851C-4E26EDAE9963}" id="{E2F9560F-4E64-418B-9B68-3BDAB35F3A78}">
    <xltc:text>Unquoted planning assumption. Bulk freight per book. Review before committing stock or ad spend.</xltc:text>
  </xltc:threadedComment>
  <xltc:threadedComment ref="D16" dT="2026-10-13T09:50:14.255" personId="{74F5F98C-283C-46D2-851C-4E26EDAE9963}" id="{5434B43C-CBA6-4D70-95E9-801F1CCACC3B}">
    <xltc:text>Unquoted planning assumption. Bulk freight per book. Review before committing stock or ad spend.</xltc:text>
  </xltc:threadedComment>
  <xltc:threadedComment ref="B17" dT="2026-10-13T09:50:14.27" personId="{74F5F98C-283C-46D2-851C-4E26EDAE9963}" id="{033C9E81-167C-4472-8B5A-9F3E43CADA98}">
    <xltc:text>Unquoted planning assumption. Trade freight per book. Review before committing stock or ad spend.</xltc:text>
  </xltc:threadedComment>
  <xltc:threadedComment ref="C17" dT="2026-10-13T09:50:14.283" personId="{74F5F98C-283C-46D2-851C-4E26EDAE9963}" id="{99B48403-D4B7-4B58-A100-A1C8A4939B95}">
    <xltc:text>Unquoted planning assumption. Trade freight per book. Review before committing stock or ad spend.</xltc:text>
  </xltc:threadedComment>
  <xltc:threadedComment ref="D17" dT="2026-10-13T09:50:14.296" personId="{74F5F98C-283C-46D2-851C-4E26EDAE9963}" id="{F24BB4DC-1029-47C1-A9A0-C5CC76567B90}">
    <xltc:text>Unquoted planning assumption. Trade freight per book. Review before committing stock or ad spend.</xltc:text>
  </xltc:threadedComment>
  <xltc:threadedComment ref="B18" dT="2026-10-13T09:50:14.312" personId="{74F5F98C-283C-46D2-851C-4E26EDAE9963}" id="{0A0710CD-430F-4440-AE8D-4C51DF360BC8}">
    <xltc:text>Unquoted planning assumption. All-in marketplace selling/closing/fulfillment cash fee. Review before committing stock or ad spend.</xltc:text>
  </xltc:threadedComment>
  <xltc:threadedComment ref="C18" dT="2026-10-13T09:50:14.328" personId="{74F5F98C-283C-46D2-851C-4E26EDAE9963}" id="{64368295-B8D8-49B1-AC33-5318040606FD}">
    <xltc:text>Unquoted planning assumption. All-in marketplace selling/closing/fulfillment cash fee. Review before committing stock or ad spend.</xltc:text>
  </xltc:threadedComment>
  <xltc:threadedComment ref="D18" dT="2026-10-13T09:50:14.342" personId="{74F5F98C-283C-46D2-851C-4E26EDAE9963}" id="{B3A0C9B8-85D1-4A2F-B3FB-F50C3E7E93CD}">
    <xltc:text>Unquoted planning assumption. All-in marketplace selling/closing/fulfillment cash fee. Review before committing stock or ad spend.</xltc:text>
  </xltc:threadedComment>
  <xltc:threadedComment ref="B19" dT="2026-10-13T09:50:14.356" personId="{74F5F98C-283C-46D2-851C-4E26EDAE9963}" id="{DA23AA88-A0FA-4C8A-85F9-DD0D6E6EB77E}">
    <xltc:text>Unquoted planning assumption. Marketplace advertising per retained book. Review before committing stock or ad spend.</xltc:text>
  </xltc:threadedComment>
  <xltc:threadedComment ref="C19" dT="2026-10-13T09:50:14.37" personId="{74F5F98C-283C-46D2-851C-4E26EDAE9963}" id="{5040614C-62B8-4FA7-81D9-BCFD071ACD73}">
    <xltc:text>Unquoted planning assumption. Marketplace advertising per retained book. Review before committing stock or ad spend.</xltc:text>
  </xltc:threadedComment>
  <xltc:threadedComment ref="D19" dT="2026-10-13T09:50:14.385" personId="{74F5F98C-283C-46D2-851C-4E26EDAE9963}" id="{E144968A-6273-4472-B9A9-3FC2F9931283}">
    <xltc:text>Unquoted planning assumption. Marketplace advertising per retained book. Review before committing stock or ad spend.</xltc:text>
  </xltc:threadedComment>
  <xltc:threadedComment ref="B20" dT="2026-10-13T09:50:14.4" personId="{74F5F98C-283C-46D2-851C-4E26EDAE9963}" id="{CAA8BA91-0D1B-43B3-8C72-D84DA297749D}">
    <xltc:text>Unquoted planning assumption. Bulk field servicing / partner acquisition. Review before committing stock or ad spend.</xltc:text>
  </xltc:threadedComment>
  <xltc:threadedComment ref="C20" dT="2026-10-13T09:50:14.412" personId="{74F5F98C-283C-46D2-851C-4E26EDAE9963}" id="{1F940452-C388-4071-8B72-E32426D688C7}">
    <xltc:text>Unquoted planning assumption. Bulk field servicing / partner acquisition. Review before committing stock or ad spend.</xltc:text>
  </xltc:threadedComment>
  <xltc:threadedComment ref="D20" dT="2026-10-13T09:50:14.426" personId="{74F5F98C-283C-46D2-851C-4E26EDAE9963}" id="{AB17C11D-AC2D-4E84-9662-DC307B0AB4A7}">
    <xltc:text>Unquoted planning assumption. Bulk field servicing / partner acquisition. Review before committing stock or ad spend.</xltc:text>
  </xltc:threadedComment>
  <xltc:threadedComment ref="B21" dT="2026-10-13T09:50:14.441" personId="{74F5F98C-283C-46D2-851C-4E26EDAE9963}" id="{7D69FC9B-D8B3-41CD-B7E6-49A74C116ACF}">
    <xltc:text>Unquoted planning assumption. Trade field servicing cost. Review before committing stock or ad spend.</xltc:text>
  </xltc:threadedComment>
  <xltc:threadedComment ref="C21" dT="2026-10-13T09:50:14.454" personId="{74F5F98C-283C-46D2-851C-4E26EDAE9963}" id="{783F0C06-18A3-4C0E-9ABE-16605A8DF40C}">
    <xltc:text>Unquoted planning assumption. Trade field servicing cost. Review before committing stock or ad spend.</xltc:text>
  </xltc:threadedComment>
  <xltc:threadedComment ref="D21" dT="2026-10-13T09:50:14.467" personId="{74F5F98C-283C-46D2-851C-4E26EDAE9963}" id="{2ADB01D5-3D72-4415-B3D5-2510FB94BABF}">
    <xltc:text>Unquoted planning assumption. Trade field servicing cost. Review before committing stock or ad spend.</xltc:text>
  </xltc:threadedComment>
  <xltc:threadedComment ref="B22" dT="2026-10-13T09:50:14.479" personId="{74F5F98C-283C-46D2-851C-4E26EDAE9963}" id="{FA0AAED1-510E-458E-B00F-DE799C8AC201}">
    <xltc:text>Unquoted planning assumption. DTC reverse-logistics/chargeback reserve. Review before committing stock or ad spend.</xltc:text>
  </xltc:threadedComment>
  <xltc:threadedComment ref="C22" dT="2026-10-13T09:50:14.494" personId="{74F5F98C-283C-46D2-851C-4E26EDAE9963}" id="{84F8F034-54BB-4382-9BC1-340910E7A745}">
    <xltc:text>Unquoted planning assumption. DTC reverse-logistics/chargeback reserve. Review before committing stock or ad spend.</xltc:text>
  </xltc:threadedComment>
  <xltc:threadedComment ref="D22" dT="2026-10-13T09:50:14.508" personId="{74F5F98C-283C-46D2-851C-4E26EDAE9963}" id="{AC2F3A77-6027-407A-9D52-BFC2AC234BA3}">
    <xltc:text>Unquoted planning assumption. DTC reverse-logistics/chargeback reserve. Review before committing stock or ad spend.</xltc:text>
  </xltc:threadedComment>
  <xltc:threadedComment ref="B23" dT="2026-10-13T09:50:14.521" personId="{74F5F98C-283C-46D2-851C-4E26EDAE9963}" id="{7E8E955B-7C61-450E-AFD2-0DD9AFEB7387}">
    <xltc:text>Unquoted planning assumption. Bulk leakage/collections reserve. Review before committing stock or ad spend.</xltc:text>
  </xltc:threadedComment>
  <xltc:threadedComment ref="C23" dT="2026-10-13T09:50:14.534" personId="{74F5F98C-283C-46D2-851C-4E26EDAE9963}" id="{53E2597E-B300-4A21-8EE7-53A6DF090942}">
    <xltc:text>Unquoted planning assumption. Bulk leakage/collections reserve. Review before committing stock or ad spend.</xltc:text>
  </xltc:threadedComment>
  <xltc:threadedComment ref="D23" dT="2026-10-13T09:50:14.548" personId="{74F5F98C-283C-46D2-851C-4E26EDAE9963}" id="{196C4FBD-4CD4-415D-8291-C5EA08EA7FB6}">
    <xltc:text>Unquoted planning assumption. Bulk leakage/collections reserve. Review before committing stock or ad spend.</xltc:text>
  </xltc:threadedComment>
  <xltc:threadedComment ref="B24" dT="2026-10-13T09:50:14.562" personId="{74F5F98C-283C-46D2-851C-4E26EDAE9963}" id="{A19D2ABF-68A2-41C6-B389-8AB550812153}">
    <xltc:text>Unquoted planning assumption. Trade bad debt/claims reserve. Review before committing stock or ad spend.</xltc:text>
  </xltc:threadedComment>
  <xltc:threadedComment ref="C24" dT="2026-10-13T09:50:14.577" personId="{74F5F98C-283C-46D2-851C-4E26EDAE9963}" id="{BB8D894C-A7F4-443E-9BC6-06E8E0B2F4D6}">
    <xltc:text>Unquoted planning assumption. Trade bad debt/claims reserve. Review before committing stock or ad spend.</xltc:text>
  </xltc:threadedComment>
  <xltc:threadedComment ref="D24" dT="2026-10-13T09:50:14.591" personId="{74F5F98C-283C-46D2-851C-4E26EDAE9963}" id="{92493CB3-366F-4851-8FC5-DAAF1D8CC44B}">
    <xltc:text>Unquoted planning assumption. Trade bad debt/claims reserve. Review before committing stock or ad spend.</xltc:text>
  </xltc:threadedComment>
  <xltc:threadedComment ref="B25" dT="2026-10-13T09:50:14.605" personId="{74F5F98C-283C-46D2-851C-4E26EDAE9963}" id="{7DC0BF88-A8F8-43DB-B47D-01E05C8CCA31}">
    <xltc:text>Unquoted planning assumption. Marketplace reverse-logistics reserve. Review before committing stock or ad spend.</xltc:text>
  </xltc:threadedComment>
  <xltc:threadedComment ref="C25" dT="2026-10-13T09:50:14.618" personId="{74F5F98C-283C-46D2-851C-4E26EDAE9963}" id="{37F33814-6478-4E40-A88D-F1E631AE5DBF}">
    <xltc:text>Unquoted planning assumption. Marketplace reverse-logistics reserve. Review before committing stock or ad spend.</xltc:text>
  </xltc:threadedComment>
  <xltc:threadedComment ref="D25" dT="2026-10-13T09:50:14.63" personId="{74F5F98C-283C-46D2-851C-4E26EDAE9963}" id="{FFAA2C28-8466-40B2-881E-018630FFC596}">
    <xltc:text>Unquoted planning assumption. Marketplace reverse-logistics reserve. Review before committing stock or ad spend.</xltc:text>
  </xltc:threadedComment>
  <xltc:threadedComment ref="B26" dT="2026-10-13T09:50:14.643" personId="{74F5F98C-283C-46D2-851C-4E26EDAE9963}" id="{2AA9CCF0-48A6-426C-BD34-6FE0F530BC7D}">
    <xltc:text>Unquoted planning assumption. Book entitlement activation rate. Review before committing stock or ad spend.</xltc:text>
  </xltc:threadedComment>
  <xltc:threadedComment ref="C26" dT="2026-10-13T09:50:14.655" personId="{74F5F98C-283C-46D2-851C-4E26EDAE9963}" id="{0D7161E0-F155-4116-B169-7A5986C176E5}">
    <xltc:text>Unquoted planning assumption. Book entitlement activation rate. Review before committing stock or ad spend.</xltc:text>
  </xltc:threadedComment>
  <xltc:threadedComment ref="D26" dT="2026-10-13T09:50:14.668" personId="{74F5F98C-283C-46D2-851C-4E26EDAE9963}" id="{5C96F4EE-00D5-4274-8BC3-40571532F8BB}">
    <xltc:text>Unquoted planning assumption. Book entitlement activation rate. Review before committing stock or ad spend.</xltc:text>
  </xltc:threadedComment>
  <xltc:threadedComment ref="B27" dT="2026-10-13T09:50:14.681" personId="{74F5F98C-283C-46D2-851C-4E26EDAE9963}" id="{8D4F190F-A4F2-44E9-A71C-4ACC154FD91F}">
    <xltc:text>Unquoted planning assumption. Service/OTP/support per retained book. Review before committing stock or ad spend.</xltc:text>
  </xltc:threadedComment>
  <xltc:threadedComment ref="C27" dT="2026-10-13T09:50:14.693" personId="{74F5F98C-283C-46D2-851C-4E26EDAE9963}" id="{CFCFC57C-645A-4CA7-8D22-978323ED96F4}">
    <xltc:text>Unquoted planning assumption. Service/OTP/support per retained book. Review before committing stock or ad spend.</xltc:text>
  </xltc:threadedComment>
  <xltc:threadedComment ref="D27" dT="2026-10-13T09:50:14.705" personId="{74F5F98C-283C-46D2-851C-4E26EDAE9963}" id="{AE495759-C1DD-4010-A1E3-D67D121EC835}">
    <xltc:text>Unquoted planning assumption. Service/OTP/support per retained book. Review before committing stock or ad spend.</xltc:text>
  </xltc:threadedComment>
  <xltc:threadedComment ref="B28" dT="2026-10-13T09:50:14.719" personId="{74F5F98C-283C-46D2-851C-4E26EDAE9963}" id="{4F90D3E2-7181-4A40-9F6E-E42FC7509442}">
    <xltc:text>Unquoted planning assumption. Retained copies / all copies printed. Review before committing stock or ad spend.</xltc:text>
  </xltc:threadedComment>
  <xltc:threadedComment ref="C28" dT="2026-10-13T09:50:14.731" personId="{74F5F98C-283C-46D2-851C-4E26EDAE9963}" id="{607DED10-7FA1-4ADC-9192-8E05A40A9070}">
    <xltc:text>Unquoted planning assumption. Retained copies / all copies printed. Review before committing stock or ad spend.</xltc:text>
  </xltc:threadedComment>
  <xltc:threadedComment ref="D28" dT="2026-10-13T09:50:14.743" personId="{74F5F98C-283C-46D2-851C-4E26EDAE9963}" id="{AFABA899-C1E9-4C56-8EAC-087FBD4B15F6}">
    <xltc:text>Unquoted planning assumption. Retained copies / all copies printed. Review before committing stock or ad spend.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4" dT="2026-10-13T09:50:14.872" personId="{74F5F98C-283C-46D2-851C-4E26EDAE9963}" id="{D7C268A5-8A69-4722-BEF2-EDCD3FC14E92}">
    <xltc:text>Planning assumption, not an obtained quotation or demand forecast. Printing economies depend on copies PER SKU and batch, not aggregate sales.</xltc:text>
  </xltc:threadedComment>
  <xltc:threadedComment ref="C4" dT="2026-10-13T09:50:14.888" personId="{74F5F98C-283C-46D2-851C-4E26EDAE9963}" id="{F4D08DA9-FEE5-4A7F-BF43-AD95C5081BCE}">
    <xltc:text>Planning assumption, not an obtained quotation or demand forecast. Printing economies depend on copies PER SKU and batch, not aggregate sales.</xltc:text>
  </xltc:threadedComment>
  <xltc:threadedComment ref="D4" dT="2026-10-13T09:50:14.903" personId="{74F5F98C-283C-46D2-851C-4E26EDAE9963}" id="{D6076E0E-267A-4206-9151-9E2BA05EDA3B}">
    <xltc:text>Planning assumption, not an obtained quotation or demand forecast. Printing economies depend on copies PER SKU and batch, not aggregate sales.</xltc:text>
  </xltc:threadedComment>
  <xltc:threadedComment ref="B5" dT="2026-10-13T09:50:14.917" personId="{74F5F98C-283C-46D2-851C-4E26EDAE9963}" id="{3D3CD94A-1C70-42D8-8DEA-ED9AC6B67F8A}">
    <xltc:text>Planning assumption, not an obtained quotation or demand forecast. Printing economies depend on copies PER SKU and batch, not aggregate sales.</xltc:text>
  </xltc:threadedComment>
  <xltc:threadedComment ref="C5" dT="2026-10-13T09:50:14.93" personId="{74F5F98C-283C-46D2-851C-4E26EDAE9963}" id="{6193C0BA-ED72-42A1-B3B0-BD35DCF1009C}">
    <xltc:text>Planning assumption, not an obtained quotation or demand forecast. Printing economies depend on copies PER SKU and batch, not aggregate sales.</xltc:text>
  </xltc:threadedComment>
  <xltc:threadedComment ref="D5" dT="2026-10-13T09:50:14.945" personId="{74F5F98C-283C-46D2-851C-4E26EDAE9963}" id="{EAC15014-C90F-4C1B-A3F5-873E8DAF01C6}">
    <xltc:text>Planning assumption, not an obtained quotation or demand forecast. Printing economies depend on copies PER SKU and batch, not aggregate sales.</xltc:text>
  </xltc:threadedComment>
  <xltc:threadedComment ref="B6" dT="2026-10-13T09:50:14.958" personId="{74F5F98C-283C-46D2-851C-4E26EDAE9963}" id="{CEB97232-EF23-439E-B4E7-5F89514D86B4}">
    <xltc:text>Planning assumption, not an obtained quotation or demand forecast. Printing economies depend on copies PER SKU and batch, not aggregate sales.</xltc:text>
  </xltc:threadedComment>
  <xltc:threadedComment ref="C6" dT="2026-10-13T09:50:14.971" personId="{74F5F98C-283C-46D2-851C-4E26EDAE9963}" id="{5D91DB79-F1EE-4C2F-A46B-09FEAC2C5630}">
    <xltc:text>Planning assumption, not an obtained quotation or demand forecast. Printing economies depend on copies PER SKU and batch, not aggregate sales.</xltc:text>
  </xltc:threadedComment>
  <xltc:threadedComment ref="D6" dT="2026-10-13T09:50:14.985" personId="{74F5F98C-283C-46D2-851C-4E26EDAE9963}" id="{33CB25D1-A4B7-49BC-9E6D-7E15ACAF8624}">
    <xltc:text>Planning assumption, not an obtained quotation or demand forecast. Printing economies depend on copies PER SKU and batch, not aggregate sales.</xltc:text>
  </xltc:threadedComment>
  <xltc:threadedComment ref="B7" dT="2026-10-13T09:50:14.998" personId="{74F5F98C-283C-46D2-851C-4E26EDAE9963}" id="{CE25D454-1109-4CD8-9457-FF051D40653C}">
    <xltc:text>Planning assumption, not an obtained quotation or demand forecast. Printing economies depend on copies PER SKU and batch, not aggregate sales.</xltc:text>
  </xltc:threadedComment>
  <xltc:threadedComment ref="C7" dT="2026-10-13T09:50:15.012" personId="{74F5F98C-283C-46D2-851C-4E26EDAE9963}" id="{6A13F77F-3CA5-47FC-9645-F0E2F7060E61}">
    <xltc:text>Planning assumption, not an obtained quotation or demand forecast. Printing economies depend on copies PER SKU and batch, not aggregate sales.</xltc:text>
  </xltc:threadedComment>
  <xltc:threadedComment ref="D7" dT="2026-10-13T09:50:15.026" personId="{74F5F98C-283C-46D2-851C-4E26EDAE9963}" id="{F358C188-0327-4E16-A096-6DD1B144C8C8}">
    <xltc:text>Planning assumption, not an obtained quotation or demand forecast. Printing economies depend on copies PER SKU and batch, not aggregate sales.</xltc:text>
  </xltc:threadedComment>
  <xltc:threadedComment ref="B8" dT="2026-10-13T09:50:15.04" personId="{74F5F98C-283C-46D2-851C-4E26EDAE9963}" id="{0549B188-B891-4302-9142-40D968D48902}">
    <xltc:text>Planning assumption, not an obtained quotation or demand forecast. Printing economies depend on copies PER SKU and batch, not aggregate sales.</xltc:text>
  </xltc:threadedComment>
  <xltc:threadedComment ref="C8" dT="2026-10-13T09:50:15.054" personId="{74F5F98C-283C-46D2-851C-4E26EDAE9963}" id="{B092404A-A34A-4122-9253-AA7F9B2C29D1}">
    <xltc:text>Planning assumption, not an obtained quotation or demand forecast. Printing economies depend on copies PER SKU and batch, not aggregate sales.</xltc:text>
  </xltc:threadedComment>
  <xltc:threadedComment ref="D8" dT="2026-10-13T09:50:15.068" personId="{74F5F98C-283C-46D2-851C-4E26EDAE9963}" id="{5BDC26DA-57F1-4FB1-901B-D0BD5759421A}">
    <xltc:text>Planning assumption, not an obtained quotation or demand forecast. Printing economies depend on copies PER SKU and batch, not aggregate sales.</xltc:text>
  </xltc:threadedComment>
  <xltc:threadedComment ref="B9" dT="2026-10-13T09:50:15.086" personId="{74F5F98C-283C-46D2-851C-4E26EDAE9963}" id="{317189DA-D21D-4484-88F7-12760054C5DB}">
    <xltc:text>Planning assumption, not an obtained quotation or demand forecast. Printing economies depend on copies PER SKU and batch, not aggregate sales.</xltc:text>
  </xltc:threadedComment>
  <xltc:threadedComment ref="C9" dT="2026-10-13T09:50:15.103" personId="{74F5F98C-283C-46D2-851C-4E26EDAE9963}" id="{3B9D622B-D9D2-491E-BF1C-1F72E34EC9DD}">
    <xltc:text>Planning assumption, not an obtained quotation or demand forecast. Printing economies depend on copies PER SKU and batch, not aggregate sales.</xltc:text>
  </xltc:threadedComment>
  <xltc:threadedComment ref="D9" dT="2026-10-13T09:50:15.12" personId="{74F5F98C-283C-46D2-851C-4E26EDAE9963}" id="{B7CC6BC3-E3BB-4F74-AE5E-B458A77472EC}">
    <xltc:text>Planning assumption, not an obtained quotation or demand forecast. Printing economies depend on copies PER SKU and batch, not aggregate sales.</xltc:text>
  </xltc:threadedComment>
  <xltc:threadedComment ref="B10" dT="2026-10-13T09:50:15.134" personId="{74F5F98C-283C-46D2-851C-4E26EDAE9963}" id="{7E868906-202B-41BB-A159-75707F23E837}">
    <xltc:text>Planning assumption, not an obtained quotation or demand forecast. Printing economies depend on copies PER SKU and batch, not aggregate sales.</xltc:text>
  </xltc:threadedComment>
  <xltc:threadedComment ref="C10" dT="2026-10-13T09:50:15.15" personId="{74F5F98C-283C-46D2-851C-4E26EDAE9963}" id="{6FDF2F07-6AC6-4F50-8419-4F5A1596F88F}">
    <xltc:text>Planning assumption, not an obtained quotation or demand forecast. Printing economies depend on copies PER SKU and batch, not aggregate sales.</xltc:text>
  </xltc:threadedComment>
  <xltc:threadedComment ref="D10" dT="2026-10-13T09:50:15.172" personId="{74F5F98C-283C-46D2-851C-4E26EDAE9963}" id="{45F94E2E-BBBE-409C-AE0B-9A838347241B}">
    <xltc:text>Planning assumption, not an obtained quotation or demand forecast. Printing economies depend on copies PER SKU and batch, not aggregate sales.</xltc:text>
  </xltc:threadedComment>
  <xltc:threadedComment ref="B11" dT="2026-10-13T09:50:15.189" personId="{74F5F98C-283C-46D2-851C-4E26EDAE9963}" id="{408EC221-1E51-41BC-A6B5-7699CB740846}">
    <xltc:text>Planning assumption, not an obtained quotation or demand forecast. Printing economies depend on copies PER SKU and batch, not aggregate sales.</xltc:text>
  </xltc:threadedComment>
  <xltc:threadedComment ref="C11" dT="2026-10-13T09:50:15.203" personId="{74F5F98C-283C-46D2-851C-4E26EDAE9963}" id="{02235CBB-98E4-4B28-90D6-5E3E20AD549E}">
    <xltc:text>Planning assumption, not an obtained quotation or demand forecast. Printing economies depend on copies PER SKU and batch, not aggregate sales.</xltc:text>
  </xltc:threadedComment>
  <xltc:threadedComment ref="D11" dT="2026-10-13T09:50:15.218" personId="{74F5F98C-283C-46D2-851C-4E26EDAE9963}" id="{F4B6AA15-73B6-4E8D-BF4E-D516B9A6EFCF}">
    <xltc:text>Planning assumption, not an obtained quotation or demand forecast. Printing economies depend on copies PER SKU and batch, not aggregate sales.</xltc:text>
  </xltc:threadedComment>
  <xltc:threadedComment ref="B12" dT="2026-10-13T09:50:15.238" personId="{74F5F98C-283C-46D2-851C-4E26EDAE9963}" id="{932A3031-D745-42D6-BE2A-FB8D5D6C2C11}">
    <xltc:text>Planning assumption, not an obtained quotation or demand forecast. Printing economies depend on copies PER SKU and batch, not aggregate sales.</xltc:text>
  </xltc:threadedComment>
  <xltc:threadedComment ref="C12" dT="2026-10-13T09:50:15.256" personId="{74F5F98C-283C-46D2-851C-4E26EDAE9963}" id="{7BB86782-9275-45B0-AFBA-9B60F9446B84}">
    <xltc:text>Planning assumption, not an obtained quotation or demand forecast. Printing economies depend on copies PER SKU and batch, not aggregate sales.</xltc:text>
  </xltc:threadedComment>
  <xltc:threadedComment ref="D12" dT="2026-10-13T09:50:15.27" personId="{74F5F98C-283C-46D2-851C-4E26EDAE9963}" id="{D2EB8FBC-2A69-4CB7-AD5B-30567CA01B89}">
    <xltc:text>Planning assumption, not an obtained quotation or demand forecast. Printing economies depend on copies PER SKU and batch, not aggregate sales.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4" dT="2026-10-13T10:00:14.543" personId="{74F5F98C-283C-46D2-851C-4E26EDAE9963}" id="{24B9EAB8-B05A-42DB-8344-6C5EC4A0D86C}">
    <xltc:text>Proposed price tests; no established elasticity or conversion lift assumed.</xltc:text>
  </xltc:threadedComment>
  <xltc:threadedComment ref="B3" dT="2026-10-13T10:00:14.56" personId="{74F5F98C-283C-46D2-851C-4E26EDAE9963}" id="{B9073AF2-EED0-450F-82F1-8A5FA1860815}">
    <xltc:text>Incremental per-customer acquisition cost sensitivity, not observed ExamLeaf costs.</xltc:text>
  </xltc:threadedComment>
  <xltc:threadedComment ref="B18" dT="2026-10-13T10:00:14.579" personId="{74F5F98C-283C-46D2-851C-4E26EDAE9963}" id="{EE4CE301-BCCF-4099-B2A1-D08FD43BF1D1}">
    <xltc:text>Management target of INR100 contribution per book, not a market norm.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B4" dT="2026-10-13T10:00:14.592" personId="{74F5F98C-283C-46D2-851C-4E26EDAE9963}" id="{12C122AB-A6E3-4F1C-91F6-B0CCC2166971}">
    <xltc:text>Illustrative funnel assumptions, not platform benchmarks. Deduplicate and validate denominators.</xltc:text>
  </xltc:threadedComment>
  <xltc:threadedComment ref="C18" dT="2026-10-13T10:00:14.607" personId="{74F5F98C-283C-46D2-851C-4E26EDAE9963}" id="{39680D35-BDB2-4AC0-9E6D-7554A61323CA}">
    <xltc:text>Planning order/bulk/outlet productivity assumptions; not signed partner commitments.</xltc:text>
  </xltc:threadedComment>
  <xltc:threadedComment ref="B25" dT="2026-10-13T10:00:14.621" personId="{74F5F98C-283C-46D2-851C-4E26EDAE9963}" id="{67ABF03E-B08B-4E00-8EA2-AACDFF5DD42B}">
    <xltc:text>Conversion sensitivity; not guaranteed rates.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B4" dT="2026-10-13T09:53:54.127" personId="{74F5F98C-283C-46D2-851C-4E26EDAE9963}" id="{ACBB99B7-0D4D-4083-A03E-26CFC20D74A1}">
    <xltc:text>Planning allocation, not a supplier or employment quote. Contract authoring and subject review; source rights required.</xltc:text>
  </xltc:threadedComment>
  <xltc:threadedComment ref="B5" dT="2026-10-13T09:53:54.143" personId="{74F5F98C-283C-46D2-851C-4E26EDAE9963}" id="{97E627E7-1DF6-49CB-BA02-39C14B753D53}">
    <xltc:text>Planning allocation, not a supplier or employment quote. Do not replace quality checks with generated layouts.</xltc:text>
  </xltc:threadedComment>
  <xltc:threadedComment ref="B6" dT="2026-10-13T09:53:54.158" personId="{74F5F98C-283C-46D2-851C-4E26EDAE9963}" id="{62A8D707-1A27-41F9-BA6C-A2607A715DE6}">
    <xltc:text>Planning allocation, not a supplier or employment quote. Pilot: 40 x INR 3,000, including allocated human review and machine costs; reusable 2D templates.</xltc:text>
  </xltc:threadedComment>
  <xltc:threadedComment ref="B7" dT="2026-10-13T09:53:54.173" personId="{74F5F98C-283C-46D2-851C-4E26EDAE9963}" id="{29EC5BFD-AE01-4A24-82D7-D17F0074CD34}">
    <xltc:text>Planning allocation, not a supplier or employment quote. Fixed organic acquisition cost; excluded from incremental CAC but included in profit.</xltc:text>
  </xltc:threadedComment>
  <xltc:threadedComment ref="B8" dT="2026-10-13T09:53:54.188" personId="{74F5F98C-283C-46D2-851C-4E26EDAE9963}" id="{13D607A7-C471-4A68-B030-9F4BB873AF84}">
    <xltc:text>Planning allocation, not a supplier or employment quote. Lean existing-commerce stack; no custom native app.</xltc:text>
  </xltc:threadedComment>
  <xltc:threadedComment ref="B9" dT="2026-10-13T09:53:54.205" personId="{74F5F98C-283C-46D2-851C-4E26EDAE9963}" id="{8152861F-6CEB-4F91-AD5E-F5AE9C19DC7A}">
    <xltc:text>Planning allocation, not a supplier or employment quote. Video delivery is separately reserved per activated book.</xltc:text>
  </xltc:threadedComment>
  <xltc:threadedComment ref="B10" dT="2026-10-13T09:53:54.218" personId="{74F5F98C-283C-46D2-851C-4E26EDAE9963}" id="{35ECB150-153D-4680-842D-8392834A3EC2}">
    <xltc:text>Planning allocation, not a supplier or employment quote. Allocated project/season workload, not a promise of unlimited full-time staffing.</xltc:text>
  </xltc:threadedComment>
  <xltc:threadedComment ref="B11" dT="2026-10-13T09:53:54.234" personId="{74F5F98C-283C-46D2-851C-4E26EDAE9963}" id="{E799409E-461C-43C3-A8E0-2D75D5F465D2}">
    <xltc:text>Planning allocation, not a supplier or employment quote. GST classification and minors/privacy review are launch gates.</xltc:text>
  </xltc:threadedComment>
  <xltc:threadedComment ref="B12" dT="2026-10-13T09:53:54.249" personId="{74F5F98C-283C-46D2-851C-4E26EDAE9963}" id="{2F7D55A6-533C-49CA-8B41-104DDC24D015}">
    <xltc:text>Planning allocation, not a supplier or employment quote. Fixed launch work; per-sale field servicing also separately modeled.</xltc:text>
  </xltc:threadedComment>
  <xltc:threadedComment ref="B13" dT="2026-10-13T09:53:54.27" personId="{74F5F98C-283C-46D2-851C-4E26EDAE9963}" id="{479EE58F-42FD-4E4C-81CA-2208526F11D8}">
    <xltc:text>Planning allocation, not a supplier or employment quote. Expected spending allowance; funding headroom is additional liquidity, not P&amp;L expense.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e0c3c869b9740ea" /><Relationship Type="http://schemas.openxmlformats.org/officeDocument/2006/relationships/vmlDrawing" Target="/xl/drawings/vmldrawing.vml" Id="R17c7e4bdd19d400f" /><Relationship Type="http://schemas.microsoft.com/office/2017/10/relationships/threadedComment" Target="/xl/threadedcomments/threadedcomment.xml" Id="Ra0257a766bf247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e3cb2b3e3f045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ac67322ca2564f5b" /><Relationship Type="http://schemas.openxmlformats.org/officeDocument/2006/relationships/vmlDrawing" Target="/xl/drawings/vmldrawing2.vml" Id="R20f64eb3efd047b5" /><Relationship Type="http://schemas.microsoft.com/office/2017/10/relationships/threadedComment" Target="/xl/threadedcomments/threadedcomment2.xml" Id="Ra843eeb23b99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a44b7a899cf946c2" /><Relationship Type="http://schemas.openxmlformats.org/officeDocument/2006/relationships/vmlDrawing" Target="/xl/drawings/vmldrawing3.vml" Id="R1a5e1c0a9c4f4d57" /><Relationship Type="http://schemas.microsoft.com/office/2017/10/relationships/threadedComment" Target="/xl/threadedcomments/threadedcomment3.xml" Id="Rf8f542d58c5748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37e13ea87ab34572" /><Relationship Type="http://schemas.openxmlformats.org/officeDocument/2006/relationships/vmlDrawing" Target="/xl/drawings/vmldrawing4.vml" Id="Rbbd99b527105409b" /><Relationship Type="http://schemas.microsoft.com/office/2017/10/relationships/threadedComment" Target="/xl/threadedcomments/threadedcomment4.xml" Id="R100e0fb0584744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5.xml" Id="Rd9775ddce4174489" /><Relationship Type="http://schemas.openxmlformats.org/officeDocument/2006/relationships/vmlDrawing" Target="/xl/drawings/vmldrawing5.vml" Id="Rea9d3ab7cd294ffd" /><Relationship Type="http://schemas.microsoft.com/office/2017/10/relationships/threadedComment" Target="/xl/threadedcomments/threadedcomment5.xml" Id="Rf266a4005caf4e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6.xml" Id="R480e21dd524e47fd" /><Relationship Type="http://schemas.openxmlformats.org/officeDocument/2006/relationships/vmlDrawing" Target="/xl/drawings/vmldrawing6.vml" Id="Rfadd2e2f2a9c49b9" /><Relationship Type="http://schemas.microsoft.com/office/2017/10/relationships/threadedComment" Target="/xl/threadedcomments/threadedcomment6.xml" Id="Red9fd718515b41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7.xml" Id="R738777736f904ecd" /><Relationship Type="http://schemas.openxmlformats.org/officeDocument/2006/relationships/vmlDrawing" Target="/xl/drawings/vmldrawing7.vml" Id="R7accf25718b94747" /><Relationship Type="http://schemas.microsoft.com/office/2017/10/relationships/threadedComment" Target="/xl/threadedcomments/threadedcomment7.xml" Id="Re23b022d52274d3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</x:cols>
  <x:sheetData>
    <x:row r="1" ht="38" customHeight="1">
      <x:c r="A1" s="8" t="str">
        <x:v>EXAMLEAF | BUSINESS &amp; FINANCIAL PLANNING MODEL</x:v>
      </x:c>
      <x:c r="B1" s="8"/>
      <x:c r="C1" s="8"/>
      <x:c r="D1" s="8"/>
      <x:c r="E1" s="8"/>
      <x:c r="F1" s="8"/>
    </x:row>
    <x:row r="2" ht="23" customHeight="1">
      <x:c r="A2" s="64"/>
      <x:c r="B2" s="64"/>
      <x:c r="C2" s="4"/>
      <x:c r="D2" s="4"/>
      <x:c r="E2" s="4"/>
      <x:c r="F2" s="4"/>
    </x:row>
    <x:row r="3" ht="40" customHeight="1">
      <x:c r="A3" s="14" t="str">
        <x:v>Prepared</x:v>
      </x:c>
      <x:c r="B3" s="14" t="str">
        <x:v>13 October 2026</x:v>
      </x:c>
      <x:c r="C3" s="14"/>
      <x:c r="D3" s="14"/>
      <x:c r="E3" s="14"/>
      <x:c r="F3" s="14"/>
    </x:row>
    <x:row r="4" ht="44" customHeight="1">
      <x:c r="A4" s="64" t="str">
        <x:v>Currency</x:v>
      </x:c>
      <x:c r="B4" s="64" t="str">
        <x:v>INR; Dashboard and P&amp;L explicitly identify lakh amounts.</x:v>
      </x:c>
      <x:c r="C4" s="4"/>
      <x:c r="D4" s="4"/>
      <x:c r="E4" s="4"/>
      <x:c r="F4" s="4"/>
    </x:row>
    <x:row r="5" ht="44" customHeight="1">
      <x:c r="A5" s="64" t="str">
        <x:v>Sales definition</x:v>
      </x:c>
      <x:c r="B5" s="64" t="str">
        <x:v>Paid, retained book copies net of refunded/returned orders; not printed copies, customers or orders.</x:v>
      </x:c>
      <x:c r="C5" s="4"/>
      <x:c r="D5" s="4"/>
      <x:c r="E5" s="4"/>
      <x:c r="F5" s="4"/>
    </x:row>
    <x:row r="6" ht="44" customHeight="1">
      <x:c r="A6" s="64" t="str">
        <x:v>Period</x:v>
      </x:c>
      <x:c r="B6" s="64" t="str">
        <x:v>One edition/operating season; not a 90-day forecast. 90-day pilot has a separate budget.</x:v>
      </x:c>
      <x:c r="C6" s="4"/>
      <x:c r="D6" s="4"/>
      <x:c r="E6" s="4"/>
      <x:c r="F6" s="4"/>
    </x:row>
    <x:row r="7" ht="44" customHeight="1">
      <x:c r="A7" s="64" t="str">
        <x:v>Tax caution</x:v>
      </x:c>
      <x:c r="B7" s="64" t="str">
        <x:v>18% on the entire marketed bundle is a prudent modelling scenario, NOT a classification opinion. Obtain written advice.</x:v>
      </x:c>
      <x:c r="C7" s="4"/>
      <x:c r="D7" s="4"/>
      <x:c r="E7" s="4"/>
      <x:c r="F7" s="4"/>
    </x:row>
    <x:row r="8" ht="44" customHeight="1">
      <x:c r="A8" s="64" t="str">
        <x:v>Cost basis</x:v>
      </x:c>
      <x:c r="B8" s="64" t="str">
        <x:v>Supplier cash costs include non-recovered taxes; input-tax credit is not assumed. No financing cost or income tax.</x:v>
      </x:c>
      <x:c r="C8" s="4"/>
      <x:c r="D8" s="4"/>
      <x:c r="E8" s="4"/>
      <x:c r="F8" s="4"/>
    </x:row>
    <x:row r="9" ht="44" customHeight="1">
      <x:c r="A9" s="64" t="str">
        <x:v>Evidence</x:v>
      </x:c>
      <x:c r="B9" s="64" t="str">
        <x:v>Verified provider tariffs are distinguished from unquoted planning assumptions. Replace printer/courier/account inputs.</x:v>
      </x:c>
      <x:c r="C9" s="4"/>
      <x:c r="D9" s="4"/>
      <x:c r="E9" s="4"/>
      <x:c r="F9" s="4"/>
    </x:row>
    <x:row r="10" ht="44" customHeight="1">
      <x:c r="A10" s="64" t="str">
        <x:v>Editable fields</x:v>
      </x:c>
      <x:c r="B10" s="64" t="str">
        <x:v>Blue text on pale yellow = assumptions. Green = linked formulas. Black = same-sheet calculations.</x:v>
      </x:c>
      <x:c r="C10" s="4"/>
      <x:c r="D10" s="4"/>
      <x:c r="E10" s="4"/>
      <x:c r="F10" s="4"/>
    </x:row>
    <x:row r="11" ht="44" customHeight="1">
      <x:c r="A11" s="64" t="str">
        <x:v>Inventory</x:v>
      </x:c>
      <x:c r="B11" s="64" t="str">
        <x:v>Unsold copies are fully written off at edition end. This is conservative; no salvage revenue is assumed.</x:v>
      </x:c>
      <x:c r="C11" s="4"/>
      <x:c r="D11" s="4"/>
      <x:c r="E11" s="4"/>
      <x:c r="F11" s="4"/>
    </x:row>
    <x:row r="12" ht="44" customHeight="1">
      <x:c r="A12" s="64" t="str">
        <x:v>Guardrail</x:v>
      </x:c>
      <x:c r="B12" s="64" t="str">
        <x:v>Do not interpret a positive unit contribution as total profitability or use static break-even outside the modeled cost tier.</x:v>
      </x:c>
      <x:c r="C12" s="4"/>
      <x:c r="D12" s="4"/>
      <x:c r="E12" s="4"/>
      <x:c r="F12" s="4"/>
    </x:row>
    <x:row r="13" ht="44" customHeight="1">
      <x:c r="A13" s="64"/>
      <x:c r="B13" s="64"/>
      <x:c r="C13" s="4"/>
      <x:c r="D13" s="4"/>
      <x:c r="E13" s="4"/>
      <x:c r="F13" s="4"/>
    </x:row>
    <x:row r="14" ht="44" customHeight="1">
      <x:c r="A14" s="64" t="str">
        <x:v>Read first</x:v>
      </x:c>
      <x:c r="B14" s="64" t="str">
        <x:v>Dashboard → Global Inputs → Scenario Inputs → Unit Economics → Cash Flow.</x:v>
      </x:c>
      <x:c r="C14" s="4"/>
      <x:c r="D14" s="4"/>
      <x:c r="E14" s="4"/>
      <x:c r="F14" s="4"/>
    </x:row>
    <x:row r="15" ht="44" customHeight="1">
      <x:c r="A15" s="64" t="str">
        <x:v>Cash-flow convention</x:v>
      </x:c>
      <x:c r="B15" s="64" t="str">
        <x:v>Tax and full digital service usage are treated as restricted reserves at sale. Trade cash arrives two months later. Three print lots, 50% advance.</x:v>
      </x:c>
      <x:c r="C15" s="4"/>
      <x:c r="D15" s="4"/>
      <x:c r="E15" s="4"/>
      <x:c r="F15" s="4"/>
    </x:row>
    <x:row r="16" ht="44" customHeight="1">
      <x:c r="A16" s="64" t="str">
        <x:v>Budget meaning</x:v>
      </x:c>
      <x:c r="B16" s="64" t="str">
        <x:v>500 is a two-title pilot with allocated project labour. Higher cases fund an expanded season; they are not simply 100x the pilot.</x:v>
      </x:c>
      <x:c r="C16" s="4"/>
      <x:c r="D16" s="4"/>
      <x:c r="E16" s="4"/>
      <x:c r="F16" s="4"/>
    </x:row>
    <x:row r="17" ht="44" customHeight="1">
      <x:c r="A17" s="64" t="str">
        <x:v>Break-even caveat</x:v>
      </x:c>
      <x:c r="B17" s="64" t="str">
        <x:v>Static contribution / fixed-cost calculation only; per-SKU print pricing, staffing and channel mix must be re-costed at any new volume.</x:v>
      </x:c>
      <x:c r="C17" s="4"/>
      <x:c r="D17" s="4"/>
      <x:c r="E17" s="4"/>
      <x:c r="F17" s="4"/>
    </x:row>
    <x:row r="18" ht="44" customHeight="1">
      <x:c r="A18" s="64" t="str">
        <x:v>Cash versus profit</x:v>
      </x:c>
      <x:c r="B18" s="64" t="str">
        <x:v>Inventory purchases consume cash before sales. Remaining stock is expensed at edition end. Revenue recognition for future digital obligations needs accountant review.</x:v>
      </x:c>
      <x:c r="C18" s="4"/>
      <x:c r="D18" s="4"/>
      <x:c r="E18" s="4"/>
      <x:c r="F18" s="4"/>
    </x:row>
    <x:row r="19" ht="44" customHeight="1">
      <x:c r="A19" s="64" t="str">
        <x:v>Legal/tax</x:v>
      </x:c>
      <x:c r="B19" s="64" t="str">
        <x:v>No legal classification opinion; no corporate/income tax or borrowing interest included. CA/counsel review required.</x:v>
      </x:c>
      <x:c r="C19" s="4"/>
      <x:c r="D19" s="4"/>
      <x:c r="E19" s="4"/>
      <x:c r="F19" s="4"/>
    </x:row>
    <x:row r="20" ht="44" customHeight="1">
      <x:c r="A20" s="64" t="str">
        <x:v>Reels</x:v>
      </x:c>
      <x:c r="B20" s="64" t="str">
        <x:v>36 original drafts with hooks, captions, visuals, CTA, scientific QA and priority. P1 Class 12 ideas are later-stage, not day-one commitments.</x:v>
      </x:c>
      <x:c r="C20" s="4"/>
      <x:c r="D20" s="4"/>
      <x:c r="E20" s="4"/>
      <x:c r="F20" s="4"/>
    </x:row>
    <x:row r="21" ht="44" customHeight="1">
      <x:c r="A21" s="64" t="str">
        <x:v>Access</x:v>
      </x:c>
      <x:c r="B21" s="64" t="str">
        <x:v>Proposed one-time edition access, not lifetime support. All promised chapters must be complete or explicitly scheduled before payment.</x:v>
      </x:c>
      <x:c r="C21" s="4"/>
      <x:c r="D21" s="4"/>
      <x:c r="E21" s="4"/>
      <x:c r="F21" s="4"/>
    </x:row>
    <x:row r="22" ht="44" customHeight="1">
      <x:c r="A22" s="64"/>
      <x:c r="B22" s="64"/>
      <x:c r="C22" s="4"/>
      <x:c r="D22" s="4"/>
      <x:c r="E22" s="4"/>
      <x:c r="F22" s="4"/>
    </x:row>
    <x:row r="23" ht="44" customHeight="1">
      <x:c r="A23" s="64" t="str">
        <x:v>Model QA</x:v>
      </x:c>
      <x:c r="B23" s="64" t="str">
        <x:v>Nine case P&amp;Ls independently reconciled to monthly cash-flow totals; no negative stock; formula-error scan clear.</x:v>
      </x:c>
      <x:c r="C23" s="4"/>
      <x:c r="D23" s="4"/>
      <x:c r="E23" s="4"/>
      <x:c r="F23" s="4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17c7e4bdd19d400f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18" hidden="0" customWidth="1"/>
    <x:col min="4" max="4" width="20" hidden="0" customWidth="1"/>
    <x:col min="5" max="5" width="15" hidden="0" customWidth="1"/>
    <x:col min="6" max="6" width="16" hidden="0" customWidth="1"/>
    <x:col min="7" max="7" width="13" hidden="0" customWidth="1"/>
    <x:col min="8" max="8" width="17" hidden="0" customWidth="1"/>
    <x:col min="9" max="9" width="22" hidden="0" customWidth="1"/>
    <x:col min="10" max="10" width="22" hidden="0" customWidth="1"/>
  </x:cols>
  <x:sheetData>
    <x:row r="1" ht="38" customHeight="1">
      <x:c r="A1" s="8" t="str">
        <x:v>EXAMLEAF | SCALE IS NOT A SUBSTITUTE FOR UNIT ECONOMICS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44" customHeight="1">
      <x:c r="A3" s="14" t="str">
        <x:v>Case</x:v>
      </x:c>
      <x:c r="B3" s="14" t="str">
        <x:v>Books</x:v>
      </x:c>
      <x:c r="C3" s="14" t="str">
        <x:v>Net revenue ₹ lakh</x:v>
      </x:c>
      <x:c r="D3" s="14" t="str">
        <x:v>Contribution ₹/book</x:v>
      </x:c>
      <x:c r="E3" s="14" t="str">
        <x:v>Fixed ₹ lakh</x:v>
      </x:c>
      <x:c r="F3" s="14" t="str">
        <x:v>Profit ₹ lakh</x:v>
      </x:c>
      <x:c r="G3" s="14" t="str">
        <x:v>Margin</x:v>
      </x:c>
      <x:c r="H3" s="14" t="str">
        <x:v>Peak gap ₹ lakh</x:v>
      </x:c>
      <x:c r="I3" s="14" t="str">
        <x:v>Funding +15% ₹ lakh</x:v>
      </x:c>
      <x:c r="J3" s="14" t="str">
        <x:v>Static break-even</x:v>
      </x:c>
    </x:row>
    <x:row r="4" ht="44" customHeight="1">
      <x:c r="A4" s="64" t="str">
        <x:f>'Season P&amp;L'!A4</x:f>
        <x:v>Conservative | 500</x:v>
      </x:c>
      <x:c r="B4" s="44" t="n">
        <x:f>'Season P&amp;L'!B4</x:f>
        <x:v>500</x:v>
      </x:c>
      <x:c r="C4" s="36" t="n">
        <x:f>'Season P&amp;L'!E4/100000</x:f>
        <x:v>1.6042055084745763</x:v>
      </x:c>
      <x:c r="D4" s="36" t="n">
        <x:f>'Unit Economics'!B43</x:f>
        <x:v>-98.49621830508474</x:v>
      </x:c>
      <x:c r="E4" s="36" t="n">
        <x:f>'Season P&amp;L'!I4/100000</x:f>
        <x:v>7.5</x:v>
      </x:c>
      <x:c r="F4" s="36" t="n">
        <x:f>'Season P&amp;L'!J4/100000</x:f>
        <x:v>-7.992481091525424</x:v>
      </x:c>
      <x:c r="G4" s="48" t="n">
        <x:f>'Season P&amp;L'!K4</x:f>
        <x:v>-4.9822052407271675</x:v>
      </x:c>
      <x:c r="H4" s="36" t="n">
        <x:f>MAX(0,-MIN('Cash Flow'!M5:M16))/100000</x:f>
        <x:v>7.992481091525424</x:v>
      </x:c>
      <x:c r="I4" s="36" t="n">
        <x:f>H4*(1+'Global Inputs'!$B$12)</x:f>
        <x:v>9.191353255254237</x:v>
      </x:c>
      <x:c r="J4" s="44" t="str">
        <x:f>'Unit Economics'!B45</x:f>
        <x:v>No unit break-even</x:v>
      </x:c>
    </x:row>
    <x:row r="5" ht="44" customHeight="1">
      <x:c r="A5" s="64" t="str">
        <x:f>'Season P&amp;L'!A5</x:f>
        <x:v>Base | 500</x:v>
      </x:c>
      <x:c r="B5" s="44" t="n">
        <x:f>'Season P&amp;L'!B5</x:f>
        <x:v>500</x:v>
      </x:c>
      <x:c r="C5" s="36" t="n">
        <x:f>'Season P&amp;L'!E5/100000</x:f>
        <x:v>1.8226694915254236</x:v>
      </x:c>
      <x:c r="D5" s="36" t="n">
        <x:f>'Unit Economics'!C43</x:f>
        <x:v>56.89091830508474</x:v>
      </x:c>
      <x:c r="E5" s="36" t="n">
        <x:f>'Season P&amp;L'!I5/100000</x:f>
        <x:v>6.5</x:v>
      </x:c>
      <x:c r="F5" s="36" t="n">
        <x:f>'Season P&amp;L'!J5/100000</x:f>
        <x:v>-6.215545408474576</x:v>
      </x:c>
      <x:c r="G5" s="48" t="n">
        <x:f>'Season P&amp;L'!K5</x:f>
        <x:v>-3.410133014994769</x:v>
      </x:c>
      <x:c r="H5" s="36" t="n">
        <x:f>MAX(0,-MIN('Cash Flow'!M21:M32))/100000</x:f>
        <x:v>6.215545408474578</x:v>
      </x:c>
      <x:c r="I5" s="36" t="n">
        <x:f>H5*(1+'Global Inputs'!$B$12)</x:f>
        <x:v>7.147877219745764</x:v>
      </x:c>
      <x:c r="J5" s="44" t="n">
        <x:f>'Unit Economics'!C45</x:f>
        <x:v>11426</x:v>
      </x:c>
    </x:row>
    <x:row r="6" ht="44" customHeight="1">
      <x:c r="A6" s="64" t="str">
        <x:f>'Season P&amp;L'!A6</x:f>
        <x:v>Optimistic | 500</x:v>
      </x:c>
      <x:c r="B6" s="44" t="n">
        <x:f>'Season P&amp;L'!B6</x:f>
        <x:v>500</x:v>
      </x:c>
      <x:c r="C6" s="36" t="n">
        <x:f>'Season P&amp;L'!E6/100000</x:f>
        <x:v>1.977616525423729</x:v>
      </x:c>
      <x:c r="D6" s="36" t="n">
        <x:f>'Unit Economics'!D43</x:f>
        <x:v>150.5534650847458</x:v>
      </x:c>
      <x:c r="E6" s="36" t="n">
        <x:f>'Season P&amp;L'!I6/100000</x:f>
        <x:v>6</x:v>
      </x:c>
      <x:c r="F6" s="36" t="n">
        <x:f>'Season P&amp;L'!J6/100000</x:f>
        <x:v>-5.247232674576271</x:v>
      </x:c>
      <x:c r="G6" s="48" t="n">
        <x:f>'Season P&amp;L'!K6</x:f>
        <x:v>-2.65331150256847</x:v>
      </x:c>
      <x:c r="H6" s="36" t="n">
        <x:f>MAX(0,-MIN('Cash Flow'!M37:M48))/100000</x:f>
        <x:v>5.2472326745762725</x:v>
      </x:c>
      <x:c r="I6" s="36" t="n">
        <x:f>H6*(1+'Global Inputs'!$B$12)</x:f>
        <x:v>6.034317575762713</x:v>
      </x:c>
      <x:c r="J6" s="44" t="n">
        <x:f>'Unit Economics'!D45</x:f>
        <x:v>3986</x:v>
      </x:c>
    </x:row>
    <x:row r="7" ht="44" customHeight="1">
      <x:c r="A7" s="64" t="str">
        <x:f>'Season P&amp;L'!A7</x:f>
        <x:v>Conservative | 5,000</x:v>
      </x:c>
      <x:c r="B7" s="44" t="n">
        <x:f>'Season P&amp;L'!B7</x:f>
        <x:v>5000</x:v>
      </x:c>
      <x:c r="C7" s="36" t="n">
        <x:f>'Season P&amp;L'!E7/100000</x:f>
        <x:v>16.042055084745762</x:v>
      </x:c>
      <x:c r="D7" s="36" t="n">
        <x:f>'Unit Economics'!E43</x:f>
        <x:v>-11.711218305084756</x:v>
      </x:c>
      <x:c r="E7" s="36" t="n">
        <x:f>'Season P&amp;L'!I7/100000</x:f>
        <x:v>15</x:v>
      </x:c>
      <x:c r="F7" s="36" t="n">
        <x:f>'Season P&amp;L'!J7/100000</x:f>
        <x:v>-15.585560915254238</x:v>
      </x:c>
      <x:c r="G7" s="48" t="n">
        <x:f>'Season P&amp;L'!K7</x:f>
        <x:v>-0.9715439096125782</x:v>
      </x:c>
      <x:c r="H7" s="36" t="n">
        <x:f>MAX(0,-MIN('Cash Flow'!M53:M64))/100000</x:f>
        <x:v>17.95728943644068</x:v>
      </x:c>
      <x:c r="I7" s="36" t="n">
        <x:f>H7*(1+'Global Inputs'!$B$12)</x:f>
        <x:v>20.65088285190678</x:v>
      </x:c>
      <x:c r="J7" s="44" t="str">
        <x:f>'Unit Economics'!E45</x:f>
        <x:v>No unit break-even</x:v>
      </x:c>
    </x:row>
    <x:row r="8" ht="44" customHeight="1">
      <x:c r="A8" s="64" t="str">
        <x:f>'Season P&amp;L'!A8</x:f>
        <x:v>Base | 5,000</x:v>
      </x:c>
      <x:c r="B8" s="44" t="n">
        <x:f>'Season P&amp;L'!B8</x:f>
        <x:v>5000</x:v>
      </x:c>
      <x:c r="C8" s="36" t="n">
        <x:f>'Season P&amp;L'!E8/100000</x:f>
        <x:v>18.22669491525424</x:v>
      </x:c>
      <x:c r="D8" s="36" t="n">
        <x:f>'Unit Economics'!F43</x:f>
        <x:v>118.13491830508477</x:v>
      </x:c>
      <x:c r="E8" s="36" t="n">
        <x:f>'Season P&amp;L'!I8/100000</x:f>
        <x:v>12</x:v>
      </x:c>
      <x:c r="F8" s="36" t="n">
        <x:f>'Season P&amp;L'!J8/100000</x:f>
        <x:v>-6.093254084745763</x:v>
      </x:c>
      <x:c r="G8" s="48" t="n">
        <x:f>'Season P&amp;L'!K8</x:f>
        <x:v>-0.33430383912588635</x:v>
      </x:c>
      <x:c r="H8" s="36" t="n">
        <x:f>MAX(0,-MIN('Cash Flow'!M69:M80))/100000</x:f>
        <x:v>11.055356633898306</x:v>
      </x:c>
      <x:c r="I8" s="36" t="n">
        <x:f>H8*(1+'Global Inputs'!$B$12)</x:f>
        <x:v>12.71366012898305</x:v>
      </x:c>
      <x:c r="J8" s="44" t="n">
        <x:f>'Unit Economics'!F45</x:f>
        <x:v>10158</x:v>
      </x:c>
    </x:row>
    <x:row r="9" ht="44" customHeight="1">
      <x:c r="A9" s="64" t="str">
        <x:f>'Season P&amp;L'!A9</x:f>
        <x:v>Optimistic | 5,000</x:v>
      </x:c>
      <x:c r="B9" s="44" t="n">
        <x:f>'Season P&amp;L'!B9</x:f>
        <x:v>5000</x:v>
      </x:c>
      <x:c r="C9" s="36" t="n">
        <x:f>'Season P&amp;L'!E9/100000</x:f>
        <x:v>19.77616525423729</x:v>
      </x:c>
      <x:c r="D9" s="36" t="n">
        <x:f>'Unit Economics'!G43</x:f>
        <x:v>199.1454650847458</x:v>
      </x:c>
      <x:c r="E9" s="36" t="n">
        <x:f>'Season P&amp;L'!I9/100000</x:f>
        <x:v>10</x:v>
      </x:c>
      <x:c r="F9" s="36" t="n">
        <x:f>'Season P&amp;L'!J9/100000</x:f>
        <x:v>-0.042726745762708594</x:v>
      </x:c>
      <x:c r="G9" s="48" t="n">
        <x:f>'Season P&amp;L'!K9</x:f>
        <x:v>-0.0021605172293730633</x:v>
      </x:c>
      <x:c r="H9" s="36" t="n">
        <x:f>MAX(0,-MIN('Cash Flow'!M85:M96))/100000</x:f>
        <x:v>8.42659017457627</x:v>
      </x:c>
      <x:c r="I9" s="36" t="n">
        <x:f>H9*(1+'Global Inputs'!$B$12)</x:f>
        <x:v>9.69057870076271</x:v>
      </x:c>
      <x:c r="J9" s="44" t="n">
        <x:f>'Unit Economics'!G45</x:f>
        <x:v>5022</x:v>
      </x:c>
    </x:row>
    <x:row r="10" ht="44" customHeight="1">
      <x:c r="A10" s="64" t="str">
        <x:f>'Season P&amp;L'!A10</x:f>
        <x:v>Conservative | 50,000</x:v>
      </x:c>
      <x:c r="B10" s="44" t="n">
        <x:f>'Season P&amp;L'!B10</x:f>
        <x:v>50000</x:v>
      </x:c>
      <x:c r="C10" s="36" t="n">
        <x:f>'Season P&amp;L'!E10/100000</x:f>
        <x:v>160.42055084745763</x:v>
      </x:c>
      <x:c r="D10" s="36" t="n">
        <x:f>'Unit Economics'!H43</x:f>
        <x:v>28.296481694915244</x:v>
      </x:c>
      <x:c r="E10" s="36" t="n">
        <x:f>'Season P&amp;L'!I10/100000</x:f>
        <x:v>50</x:v>
      </x:c>
      <x:c r="F10" s="36" t="n">
        <x:f>'Season P&amp;L'!J10/100000</x:f>
        <x:v>-35.85175915254237</x:v>
      </x:c>
      <x:c r="G10" s="48" t="n">
        <x:f>'Season P&amp;L'!K10</x:f>
        <x:v>-0.22348607434114515</x:v>
      </x:c>
      <x:c r="H10" s="36" t="n">
        <x:f>MAX(0,-MIN('Cash Flow'!M101:M112))/100000</x:f>
        <x:v>83.06056866101696</x:v>
      </x:c>
      <x:c r="I10" s="36" t="n">
        <x:f>H10*(1+'Global Inputs'!$B$12)</x:f>
        <x:v>95.51965396016949</x:v>
      </x:c>
      <x:c r="J10" s="44" t="n">
        <x:f>'Unit Economics'!H45</x:f>
        <x:v>176701</x:v>
      </x:c>
    </x:row>
    <x:row r="11" ht="44" customHeight="1">
      <x:c r="A11" s="64" t="str">
        <x:f>'Season P&amp;L'!A11</x:f>
        <x:v>Base | 50,000</x:v>
      </x:c>
      <x:c r="B11" s="44" t="n">
        <x:f>'Season P&amp;L'!B11</x:f>
        <x:v>50000</x:v>
      </x:c>
      <x:c r="C11" s="36" t="n">
        <x:f>'Season P&amp;L'!E11/100000</x:f>
        <x:v>182.26694915254237</x:v>
      </x:c>
      <x:c r="D11" s="36" t="n">
        <x:f>'Unit Economics'!I43</x:f>
        <x:v>148.14355830508478</x:v>
      </x:c>
      <x:c r="E11" s="36" t="n">
        <x:f>'Season P&amp;L'!I11/100000</x:f>
        <x:v>40</x:v>
      </x:c>
      <x:c r="F11" s="36" t="n">
        <x:f>'Season P&amp;L'!J11/100000</x:f>
        <x:v>34.071779152542355</x:v>
      </x:c>
      <x:c r="G11" s="48" t="n">
        <x:f>'Season P&amp;L'!K11</x:f>
        <x:v>0.18693339253748684</x:v>
      </x:c>
      <x:c r="H11" s="36" t="n">
        <x:f>MAX(0,-MIN('Cash Flow'!M117:M128))/100000</x:f>
        <x:v>45.29366408474576</x:v>
      </x:c>
      <x:c r="I11" s="36" t="n">
        <x:f>H11*(1+'Global Inputs'!$B$12)</x:f>
        <x:v>52.087713697457616</x:v>
      </x:c>
      <x:c r="J11" s="44" t="n">
        <x:f>'Unit Economics'!I45</x:f>
        <x:v>27001</x:v>
      </x:c>
    </x:row>
    <x:row r="12" ht="44" customHeight="1">
      <x:c r="A12" s="64" t="str">
        <x:f>'Season P&amp;L'!A12</x:f>
        <x:v>Optimistic | 50,000</x:v>
      </x:c>
      <x:c r="B12" s="44" t="n">
        <x:f>'Season P&amp;L'!B12</x:f>
        <x:v>50000</x:v>
      </x:c>
      <x:c r="C12" s="36" t="n">
        <x:f>'Season P&amp;L'!E12/100000</x:f>
        <x:v>197.7616525423729</x:v>
      </x:c>
      <x:c r="D12" s="36" t="n">
        <x:f>'Unit Economics'!J43</x:f>
        <x:v>222.86236508474582</x:v>
      </x:c>
      <x:c r="E12" s="36" t="n">
        <x:f>'Season P&amp;L'!I12/100000</x:f>
        <x:v>35</x:v>
      </x:c>
      <x:c r="F12" s="36" t="n">
        <x:f>'Season P&amp;L'!J12/100000</x:f>
        <x:v>76.43118254237291</x:v>
      </x:c>
      <x:c r="G12" s="48" t="n">
        <x:f>'Season P&amp;L'!K12</x:f>
        <x:v>0.3864813100001608</x:v>
      </x:c>
      <x:c r="H12" s="36" t="n">
        <x:f>MAX(0,-MIN('Cash Flow'!M133:M144))/100000</x:f>
        <x:v>34.40235</x:v>
      </x:c>
      <x:c r="I12" s="36" t="n">
        <x:f>H12*(1+'Global Inputs'!$B$12)</x:f>
        <x:v>39.56270249999999</x:v>
      </x:c>
      <x:c r="J12" s="44" t="n">
        <x:f>'Unit Economics'!J45</x:f>
        <x:v>15705</x:v>
      </x:c>
    </x:row>
    <x:row r="13" ht="23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30" customHeight="1">
      <x:c r="A15" s="66" t="str">
        <x:v>BASE CASE: 500 copies validate execution; 5,000 still do not recover full season costs. At 50,000 copies, positive profit requires disciplined pricing, sell-through, acquisition and collections. This is a model, not a sales forecast.</x:v>
      </x:c>
      <x:c r="B15" s="66"/>
      <x:c r="C15" s="66"/>
      <x:c r="D15" s="66"/>
      <x:c r="E15" s="66"/>
      <x:c r="F15" s="66"/>
      <x:c r="G15" s="66"/>
      <x:c r="H15" s="66"/>
      <x:c r="I15" s="66"/>
      <x:c r="J15" s="66"/>
    </x:row>
    <x:row r="16" ht="3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38" customHeight="1">
      <x:c r="A18" s="14" t="str">
        <x:v>Retained books</x:v>
      </x:c>
      <x:c r="B18" s="14" t="str">
        <x:v>Conservative profit ₹ lakh</x:v>
      </x:c>
      <x:c r="C18" s="14" t="str">
        <x:v>Base profit ₹ lakh</x:v>
      </x:c>
      <x:c r="D18" s="14" t="str">
        <x:v>Optimistic profit ₹ lakh</x:v>
      </x:c>
      <x:c r="E18" s="4"/>
      <x:c r="F18" s="4"/>
      <x:c r="G18" s="4"/>
      <x:c r="H18" s="4"/>
      <x:c r="I18" s="4"/>
      <x:c r="J18" s="4"/>
    </x:row>
    <x:row r="19" ht="23" customHeight="1">
      <x:c r="A19" s="68" t="n">
        <x:f>B4</x:f>
        <x:v>500</x:v>
      </x:c>
      <x:c r="B19" s="26" t="n">
        <x:f>F4</x:f>
        <x:v>-7.992481091525424</x:v>
      </x:c>
      <x:c r="C19" s="26" t="n">
        <x:f>F5</x:f>
        <x:v>-6.215545408474576</x:v>
      </x:c>
      <x:c r="D19" s="26" t="n">
        <x:f>F6</x:f>
        <x:v>-5.247232674576271</x:v>
      </x:c>
      <x:c r="E19" s="4"/>
      <x:c r="F19" s="4"/>
      <x:c r="G19" s="4"/>
      <x:c r="H19" s="4"/>
      <x:c r="I19" s="4"/>
      <x:c r="J19" s="4"/>
    </x:row>
    <x:row r="20" ht="23" customHeight="1">
      <x:c r="A20" s="68" t="n">
        <x:f>B7</x:f>
        <x:v>5000</x:v>
      </x:c>
      <x:c r="B20" s="26" t="n">
        <x:f>F7</x:f>
        <x:v>-15.585560915254238</x:v>
      </x:c>
      <x:c r="C20" s="26" t="n">
        <x:f>F8</x:f>
        <x:v>-6.093254084745763</x:v>
      </x:c>
      <x:c r="D20" s="26" t="n">
        <x:f>F9</x:f>
        <x:v>-0.042726745762708594</x:v>
      </x:c>
      <x:c r="E20" s="4"/>
      <x:c r="F20" s="4"/>
      <x:c r="G20" s="4"/>
      <x:c r="H20" s="4"/>
      <x:c r="I20" s="4"/>
      <x:c r="J20" s="4"/>
    </x:row>
    <x:row r="21" ht="23" customHeight="1">
      <x:c r="A21" s="68" t="n">
        <x:f>B10</x:f>
        <x:v>50000</x:v>
      </x:c>
      <x:c r="B21" s="26" t="n">
        <x:f>F10</x:f>
        <x:v>-35.85175915254237</x:v>
      </x:c>
      <x:c r="C21" s="26" t="n">
        <x:f>F11</x:f>
        <x:v>34.071779152542355</x:v>
      </x:c>
      <x:c r="D21" s="26" t="n">
        <x:f>F12</x:f>
        <x:v>76.43118254237291</x:v>
      </x:c>
      <x:c r="E21" s="4"/>
      <x:c r="F21" s="4"/>
      <x:c r="G21" s="4"/>
      <x:c r="H21" s="4"/>
      <x:c r="I21" s="4"/>
      <x:c r="J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3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23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3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23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mergeCells>
    <x:mergeCell ref="A1:J1"/>
    <x:mergeCell ref="A15:J16"/>
  </x:mergeCells>
  <x:conditionalFormatting sqref="F4:F12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e3cb2b3e3f045bf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4" hidden="0" customWidth="1"/>
    <x:col min="4" max="4" width="65" hidden="0" customWidth="1"/>
    <x:col min="5" max="5" width="66" hidden="0" customWidth="1"/>
  </x:cols>
  <x:sheetData>
    <x:row r="1" ht="38" customHeight="1">
      <x:c r="A1" s="8" t="str">
        <x:v>GLOBAL INPUTS | VERIFIED TARIFFS + EXPLICIT ESTIMATES</x:v>
      </x:c>
      <x:c r="B1" s="8"/>
      <x:c r="C1" s="8"/>
      <x:c r="D1" s="8"/>
      <x:c r="E1" s="8"/>
    </x:row>
    <x:row r="2" ht="23" customHeight="1">
      <x:c r="A2" s="64"/>
      <x:c r="B2" s="4"/>
      <x:c r="C2" s="4"/>
      <x:c r="D2" s="64"/>
      <x:c r="E2" s="64"/>
    </x:row>
    <x:row r="3" ht="40" customHeight="1">
      <x:c r="A3" s="14" t="str">
        <x:v>Input</x:v>
      </x:c>
      <x:c r="B3" s="14" t="str">
        <x:v>Value</x:v>
      </x:c>
      <x:c r="C3" s="14" t="str">
        <x:v>Unit</x:v>
      </x:c>
      <x:c r="D3" s="14" t="str">
        <x:v>Interpretation / limitation</x:v>
      </x:c>
      <x:c r="E3" s="14" t="str">
        <x:v>Source / basis</x:v>
      </x:c>
    </x:row>
    <x:row r="4" ht="52" customHeight="1">
      <x:c r="A4" s="64" t="str">
        <x:v>MRP per subject book</x:v>
      </x:c>
      <x:c r="B4" s="30" t="n">
        <x:v>549</x:v>
      </x:c>
      <x:c r="C4" s="4" t="str">
        <x:v>INR</x:v>
      </x:c>
      <x:c r="D4" s="64" t="str">
        <x:v>Proposed test price, not observed ExamLeaf sales.</x:v>
      </x:c>
      <x:c r="E4" s="64" t="str">
        <x:v>Planning assumption</x:v>
      </x:c>
    </x:row>
    <x:row r="5" ht="52" customHeight="1">
      <x:c r="A5" s="64" t="str">
        <x:v>Bundle output GST</x:v>
      </x:c>
      <x:c r="B5" s="40" t="n">
        <x:v>0.18</x:v>
      </x:c>
      <x:c r="C5" s="4" t="str">
        <x:v>rate</x:v>
      </x:c>
      <x:c r="D5" s="64" t="str">
        <x:v>Prudent 18% stress/base tax input, NOT legal classification. All cases use it.</x:v>
      </x:c>
      <x:c r="E5" s="64" t="str">
        <x:v>https://gstcouncil.gov.in/sites/default/files/e-version-gst-flyers/Composite%20supply%20%26%20Mixed%20Supply-050819.pdf</x:v>
      </x:c>
    </x:row>
    <x:row r="6" ht="52" customHeight="1">
      <x:c r="A6" s="64" t="str">
        <x:v>Payment gateway fee</x:v>
      </x:c>
      <x:c r="B6" s="40" t="n">
        <x:v>0.02</x:v>
      </x:c>
      <x:c r="C6" s="4" t="str">
        <x:v>rate</x:v>
      </x:c>
      <x:c r="D6" s="64" t="str">
        <x:v>Standard domestic pricing; promotional free period excluded.</x:v>
      </x:c>
      <x:c r="E6" s="64" t="str">
        <x:v>https://razorpay.com/pricing/</x:v>
      </x:c>
    </x:row>
    <x:row r="7" ht="52" customHeight="1">
      <x:c r="A7" s="64" t="str">
        <x:v>GST on gateway fee</x:v>
      </x:c>
      <x:c r="B7" s="40" t="n">
        <x:v>0.18</x:v>
      </x:c>
      <x:c r="C7" s="4" t="str">
        <x:v>rate</x:v>
      </x:c>
      <x:c r="D7" s="64" t="str">
        <x:v>Applied to gateway service fee; no input credit assumed.</x:v>
      </x:c>
      <x:c r="E7" s="64" t="str">
        <x:v>https://razorpay.com/pricing/</x:v>
      </x:c>
    </x:row>
    <x:row r="8" ht="52" customHeight="1">
      <x:c r="A8" s="64" t="str">
        <x:v>Planning INR per USD</x:v>
      </x:c>
      <x:c r="B8" s="30" t="n">
        <x:v>90</x:v>
      </x:c>
      <x:c r="C8" s="4" t="str">
        <x:v>INR/USD</x:v>
      </x:c>
      <x:c r="D8" s="64" t="str">
        <x:v>Budget buffer, NOT a current FX quote.</x:v>
      </x:c>
      <x:c r="E8" s="64" t="str">
        <x:v>Planning assumption</x:v>
      </x:c>
    </x:row>
    <x:row r="9" ht="52" customHeight="1">
      <x:c r="A9" s="64" t="str">
        <x:v>Stream delivery per 1,000 min</x:v>
      </x:c>
      <x:c r="B9" s="30" t="n">
        <x:v>1</x:v>
      </x:c>
      <x:c r="C9" s="4" t="str">
        <x:v>USD</x:v>
      </x:c>
      <x:c r="D9" s="64" t="str">
        <x:v>Published usage price; storage separate in fixed infrastructure.</x:v>
      </x:c>
      <x:c r="E9" s="64" t="str">
        <x:v>https://developers.cloudflare.com/stream/pricing/</x:v>
      </x:c>
    </x:row>
    <x:row r="10" ht="52" customHeight="1">
      <x:c r="A10" s="64" t="str">
        <x:v>Delivered minutes per activated book</x:v>
      </x:c>
      <x:c r="B10" s="30" t="n">
        <x:v>400</x:v>
      </x:c>
      <x:c r="C10" s="4" t="str">
        <x:v>minutes</x:v>
      </x:c>
      <x:c r="D10" s="64" t="str">
        <x:v>Lifetime-of-edition delivery reserve, including repeat viewing; not just first month.</x:v>
      </x:c>
      <x:c r="E10" s="64" t="str">
        <x:v>Planning assumption</x:v>
      </x:c>
    </x:row>
    <x:row r="11" ht="52" customHeight="1">
      <x:c r="A11" s="64" t="str">
        <x:v>Non-recovered tax on hosting</x:v>
      </x:c>
      <x:c r="B11" s="40" t="n">
        <x:v>0.18</x:v>
      </x:c>
      <x:c r="C11" s="4" t="str">
        <x:v>rate</x:v>
      </x:c>
      <x:c r="D11" s="64" t="str">
        <x:v>Prudent cash-cost allowance; actual invoice/credit treatment to be checked.</x:v>
      </x:c>
      <x:c r="E11" s="64" t="str">
        <x:v>Planning assumption</x:v>
      </x:c>
    </x:row>
    <x:row r="12" ht="52" customHeight="1">
      <x:c r="A12" s="64" t="str">
        <x:v>Funding headroom</x:v>
      </x:c>
      <x:c r="B12" s="40" t="n">
        <x:v>0.15</x:v>
      </x:c>
      <x:c r="C12" s="4" t="str">
        <x:v>rate</x:v>
      </x:c>
      <x:c r="D12" s="64" t="str">
        <x:v>Added to modeled peak cash deficit, not expensed in P&amp;L.</x:v>
      </x:c>
      <x:c r="E12" s="64" t="str">
        <x:v>Planning assumption</x:v>
      </x:c>
    </x:row>
    <x:row r="13" ht="52" customHeight="1">
      <x:c r="A13" s="64" t="str">
        <x:v>Digital-only subject price</x:v>
      </x:c>
      <x:c r="B13" s="30" t="n">
        <x:v>299</x:v>
      </x:c>
      <x:c r="C13" s="4" t="str">
        <x:v>INR</x:v>
      </x:c>
      <x:c r="D13" s="64" t="str">
        <x:v>One-time edition access; no assumed digital revenue in book scenarios.</x:v>
      </x:c>
      <x:c r="E13" s="64" t="str">
        <x:v>Planning assumption</x:v>
      </x:c>
    </x:row>
    <x:row r="14" ht="52" customHeight="1">
      <x:c r="A14" s="64" t="str">
        <x:v>Printer advance</x:v>
      </x:c>
      <x:c r="B14" s="40" t="n">
        <x:v>0.5</x:v>
      </x:c>
      <x:c r="C14" s="4" t="str">
        <x:v>rate</x:v>
      </x:c>
      <x:c r="D14" s="64" t="str">
        <x:v>50% one month before receipt; balance on receipt. Obtain written terms.</x:v>
      </x:c>
      <x:c r="E14" s="64" t="str">
        <x:v>Planning assumption</x:v>
      </x:c>
    </x:row>
    <x:row r="15" ht="52" customHeight="1">
      <x:c r="A15" s="64" t="str">
        <x:v>First print lot share</x:v>
      </x:c>
      <x:c r="B15" s="40" t="n">
        <x:v>0.4</x:v>
      </x:c>
      <x:c r="C15" s="4" t="str">
        <x:v>rate</x:v>
      </x:c>
      <x:c r="D15" s="64" t="str">
        <x:v>Print receipts in months 2, 4 and 5; other lots are 35% and remainder.</x:v>
      </x:c>
      <x:c r="E15" s="64" t="str">
        <x:v>Planning assumption</x:v>
      </x:c>
    </x:row>
    <x:row r="16" ht="52" customHeight="1">
      <x:c r="A16" s="64" t="str">
        <x:v>Second print lot share</x:v>
      </x:c>
      <x:c r="B16" s="40" t="n">
        <x:v>0.35</x:v>
      </x:c>
      <x:c r="C16" s="4" t="str">
        <x:v>rate</x:v>
      </x:c>
      <x:c r="D16" s="64" t="str">
        <x:v>Inventory is not all printed upfront.</x:v>
      </x:c>
      <x:c r="E16" s="64" t="str">
        <x:v>Planning assumption</x:v>
      </x:c>
    </x:row>
    <x:row r="17" ht="52" customHeight="1">
      <x:c r="A17" s="64" t="str">
        <x:v>Digital acquisition cost</x:v>
      </x:c>
      <x:c r="B17" s="30" t="n">
        <x:v>80</x:v>
      </x:c>
      <x:c r="C17" s="4" t="str">
        <x:v>INR/customer</x:v>
      </x:c>
      <x:c r="D17" s="64" t="str">
        <x:v>Incremental paid/referral acquisition, excludes fixed organic production.</x:v>
      </x:c>
      <x:c r="E17" s="64" t="str">
        <x:v>Planning assumption</x:v>
      </x:c>
    </x:row>
    <x:row r="18" ht="52" customHeight="1">
      <x:c r="A18" s="64" t="str">
        <x:v>Digital support/refunds reserve</x:v>
      </x:c>
      <x:c r="B18" s="30" t="n">
        <x:v>12</x:v>
      </x:c>
      <x:c r="C18" s="4" t="str">
        <x:v>INR/customer</x:v>
      </x:c>
      <x:c r="D18" s="64" t="str">
        <x:v>Provision for user support and refund leakage, not unlimited support.</x:v>
      </x:c>
      <x:c r="E18" s="64" t="str">
        <x:v>Planning assumption</x:v>
      </x:c>
    </x:row>
    <x:row r="19" ht="52" customHeight="1">
      <x:c r="A19" s="64" t="str">
        <x:v>Digital activation usage rate</x:v>
      </x:c>
      <x:c r="B19" s="40" t="n">
        <x:v>1</x:v>
      </x:c>
      <x:c r="C19" s="4" t="str">
        <x:v>rate</x:v>
      </x:c>
      <x:c r="D19" s="64" t="str">
        <x:v>Digital purchasers conservatively assumed active.</x:v>
      </x:c>
      <x:c r="E19" s="64" t="str">
        <x:v>Planning assumption</x:v>
      </x:c>
    </x:row>
    <x:row r="20" ht="52" customHeight="1">
      <x:c r="A20" s="64" t="str">
        <x:v>DTC single test price</x:v>
      </x:c>
      <x:c r="B20" s="30" t="n">
        <x:v>499</x:v>
      </x:c>
      <x:c r="C20" s="4" t="str">
        <x:v>INR</x:v>
      </x:c>
      <x:c r="D20" s="64" t="str">
        <x:v>Standard-service delivered price; disclose remote-area exceptions before payment.</x:v>
      </x:c>
      <x:c r="E20" s="64" t="str">
        <x:v>Planning assumption</x:v>
      </x:c>
    </x:row>
    <x:row r="21" ht="52" customHeight="1">
      <x:c r="A21" s="64" t="str">
        <x:v>Two-book delivered bundle</x:v>
      </x:c>
      <x:c r="B21" s="30" t="n">
        <x:v>949</x:v>
      </x:c>
      <x:c r="C21" s="4" t="str">
        <x:v>INR</x:v>
      </x:c>
      <x:c r="D21" s="64" t="str">
        <x:v>Customer offer; actual realized per-book input reflects coupons and order mix.</x:v>
      </x:c>
      <x:c r="E21" s="64" t="str">
        <x:v>Planning assumption</x:v>
      </x:c>
    </x:row>
    <x:row r="22" ht="52" customHeight="1">
      <x:c r="A22" s="64" t="str">
        <x:v>Science/maths prototype pages</x:v>
      </x:c>
      <x:c r="B22" s="30" t="n">
        <x:v>256</x:v>
      </x:c>
      <x:c r="C22" s="4" t="str">
        <x:v>pages</x:v>
      </x:c>
      <x:c r="D22" s="64" t="str">
        <x:v>Check physical pagination before a fixed page commitment.</x:v>
      </x:c>
      <x:c r="E22" s="64" t="str">
        <x:v>Planning assumption</x:v>
      </x:c>
    </x:row>
    <x:row r="23" ht="52" customHeight="1">
      <x:c r="A23" s="64" t="str">
        <x:v>Prototype trim width</x:v>
      </x:c>
      <x:c r="B23" s="30" t="n">
        <x:v>7</x:v>
      </x:c>
      <x:c r="C23" s="4" t="str">
        <x:v>inches</x:v>
      </x:c>
      <x:c r="D23" s="64" t="str">
        <x:v>Proposed 7 x 10 inch interior.</x:v>
      </x:c>
      <x:c r="E23" s="64" t="str">
        <x:v>Planning assumption</x:v>
      </x:c>
    </x:row>
    <x:row r="24" ht="52" customHeight="1">
      <x:c r="A24" s="64" t="str">
        <x:v>Prototype trim height</x:v>
      </x:c>
      <x:c r="B24" s="30" t="n">
        <x:v>10</x:v>
      </x:c>
      <x:c r="C24" s="4" t="str">
        <x:v>inches</x:v>
      </x:c>
      <x:c r="D24" s="64" t="str">
        <x:v>Proposed 7 x 10 inch interior.</x:v>
      </x:c>
      <x:c r="E24" s="64" t="str">
        <x:v>Planning assumption</x:v>
      </x:c>
    </x:row>
    <x:row r="25" ht="52" customHeight="1">
      <x:c r="A25" s="64" t="str">
        <x:v>Interior paper</x:v>
      </x:c>
      <x:c r="B25" s="30" t="n">
        <x:v>70</x:v>
      </x:c>
      <x:c r="C25" s="4" t="str">
        <x:v>GSM</x:v>
      </x:c>
      <x:c r="D25" s="64" t="str">
        <x:v>Compare opacity and writing comfort on actual proofs.</x:v>
      </x:c>
      <x:c r="E25" s="64" t="str">
        <x:v>Planning assumption</x:v>
      </x:c>
    </x:row>
    <x:row r="26" ht="52" customHeight="1">
      <x:c r="A26" s="64" t="str">
        <x:v>Metres per inch</x:v>
      </x:c>
      <x:c r="B26" s="30" t="n">
        <x:v>0.0254</x:v>
      </x:c>
      <x:c r="C26" s="4" t="str">
        <x:v>m/in</x:v>
      </x:c>
      <x:c r="D26" s="64" t="str">
        <x:v>Exact conversion.</x:v>
      </x:c>
      <x:c r="E26" s="64" t="str">
        <x:v>Definition</x:v>
      </x:c>
    </x:row>
    <x:row r="27" ht="52" customHeight="1">
      <x:c r="A27" s="64"/>
      <x:c r="B27" s="4"/>
      <x:c r="C27" s="4"/>
      <x:c r="D27" s="64"/>
      <x:c r="E27" s="64"/>
    </x:row>
    <x:row r="28" ht="52" customHeight="1">
      <x:c r="A28" s="64"/>
      <x:c r="B28" s="4"/>
      <x:c r="C28" s="4"/>
      <x:c r="D28" s="64"/>
      <x:c r="E28" s="64"/>
    </x:row>
    <x:row r="29" ht="52" customHeight="1">
      <x:c r="A29" s="64"/>
      <x:c r="B29" s="4"/>
      <x:c r="C29" s="4"/>
      <x:c r="D29" s="64"/>
      <x:c r="E29" s="64"/>
    </x:row>
    <x:row r="30" ht="52" customHeight="1">
      <x:c r="A30" s="64" t="str">
        <x:v>CASH TIMING | MONTH 1 IS START OF CONTENT BUILD; NOT A VERIFIED DEMAND FORECAST</x:v>
      </x:c>
      <x:c r="B30" s="4"/>
      <x:c r="C30" s="4"/>
      <x:c r="D30" s="64"/>
      <x:c r="E30" s="64"/>
    </x:row>
    <x:row r="31" ht="52" customHeight="1">
      <x:c r="A31" s="64"/>
      <x:c r="B31" s="4"/>
      <x:c r="C31" s="4"/>
      <x:c r="D31" s="64"/>
      <x:c r="E31" s="64"/>
    </x:row>
    <x:row r="32" ht="52" customHeight="1">
      <x:c r="A32" s="64" t="str">
        <x:v>Relative month</x:v>
      </x:c>
      <x:c r="B32" s="4" t="str">
        <x:v>Retained sales share</x:v>
      </x:c>
      <x:c r="C32" s="4" t="str">
        <x:v>Fixed spend share</x:v>
      </x:c>
      <x:c r="D32" s="64"/>
      <x:c r="E32" s="64"/>
    </x:row>
    <x:row r="33" ht="52" customHeight="1">
      <x:c r="A33" s="64" t="n">
        <x:v>1</x:v>
      </x:c>
      <x:c r="B33" s="40" t="n">
        <x:v>0</x:v>
      </x:c>
      <x:c r="C33" s="40" t="n">
        <x:v>0.35</x:v>
      </x:c>
      <x:c r="D33" s="64"/>
      <x:c r="E33" s="64"/>
    </x:row>
    <x:row r="34" ht="52" customHeight="1">
      <x:c r="A34" s="64" t="n">
        <x:v>2</x:v>
      </x:c>
      <x:c r="B34" s="40" t="n">
        <x:v>0</x:v>
      </x:c>
      <x:c r="C34" s="40" t="n">
        <x:v>0.25</x:v>
      </x:c>
      <x:c r="D34" s="64"/>
      <x:c r="E34" s="64"/>
    </x:row>
    <x:row r="35" ht="52" customHeight="1">
      <x:c r="A35" s="64" t="n">
        <x:v>3</x:v>
      </x:c>
      <x:c r="B35" s="40" t="n">
        <x:v>0.1</x:v>
      </x:c>
      <x:c r="C35" s="40" t="n">
        <x:v>0.1</x:v>
      </x:c>
      <x:c r="D35" s="64"/>
      <x:c r="E35" s="64"/>
    </x:row>
    <x:row r="36" ht="52" customHeight="1">
      <x:c r="A36" s="64" t="n">
        <x:v>4</x:v>
      </x:c>
      <x:c r="B36" s="40" t="n">
        <x:v>0.3</x:v>
      </x:c>
      <x:c r="C36" s="40" t="n">
        <x:v>0.05</x:v>
      </x:c>
      <x:c r="D36" s="64"/>
      <x:c r="E36" s="64"/>
    </x:row>
    <x:row r="37" ht="52" customHeight="1">
      <x:c r="A37" s="64" t="n">
        <x:v>5</x:v>
      </x:c>
      <x:c r="B37" s="40" t="n">
        <x:v>0.35</x:v>
      </x:c>
      <x:c r="C37" s="40" t="n">
        <x:v>0.05</x:v>
      </x:c>
      <x:c r="D37" s="64"/>
      <x:c r="E37" s="64"/>
    </x:row>
    <x:row r="38" ht="52" customHeight="1">
      <x:c r="A38" s="64" t="n">
        <x:v>6</x:v>
      </x:c>
      <x:c r="B38" s="40" t="n">
        <x:v>0.15</x:v>
      </x:c>
      <x:c r="C38" s="40" t="n">
        <x:v>0.05</x:v>
      </x:c>
      <x:c r="D38" s="64"/>
      <x:c r="E38" s="64"/>
    </x:row>
    <x:row r="39" ht="52" customHeight="1">
      <x:c r="A39" s="64" t="n">
        <x:v>7</x:v>
      </x:c>
      <x:c r="B39" s="40" t="n">
        <x:v>0.05</x:v>
      </x:c>
      <x:c r="C39" s="40" t="n">
        <x:v>0.04</x:v>
      </x:c>
      <x:c r="D39" s="64"/>
      <x:c r="E39" s="64"/>
    </x:row>
    <x:row r="40" ht="52" customHeight="1">
      <x:c r="A40" s="64" t="n">
        <x:v>8</x:v>
      </x:c>
      <x:c r="B40" s="40" t="n">
        <x:v>0.025</x:v>
      </x:c>
      <x:c r="C40" s="40" t="n">
        <x:v>0.04</x:v>
      </x:c>
      <x:c r="D40" s="64"/>
      <x:c r="E40" s="64"/>
    </x:row>
    <x:row r="41" ht="52" customHeight="1">
      <x:c r="A41" s="64" t="n">
        <x:v>9</x:v>
      </x:c>
      <x:c r="B41" s="40" t="n">
        <x:v>0.025</x:v>
      </x:c>
      <x:c r="C41" s="40" t="n">
        <x:v>0.02</x:v>
      </x:c>
      <x:c r="D41" s="64"/>
      <x:c r="E41" s="64"/>
    </x:row>
    <x:row r="42" ht="52" customHeight="1">
      <x:c r="A42" s="64" t="n">
        <x:v>10</x:v>
      </x:c>
      <x:c r="B42" s="40" t="n">
        <x:v>0</x:v>
      </x:c>
      <x:c r="C42" s="40" t="n">
        <x:v>0.02</x:v>
      </x:c>
      <x:c r="D42" s="64"/>
      <x:c r="E42" s="64"/>
    </x:row>
    <x:row r="43" ht="52" customHeight="1">
      <x:c r="A43" s="64" t="n">
        <x:v>11</x:v>
      </x:c>
      <x:c r="B43" s="40" t="n">
        <x:v>0</x:v>
      </x:c>
      <x:c r="C43" s="40" t="n">
        <x:v>0.02</x:v>
      </x:c>
      <x:c r="D43" s="64"/>
      <x:c r="E43" s="64"/>
    </x:row>
    <x:row r="44" ht="52" customHeight="1">
      <x:c r="A44" s="64" t="n">
        <x:v>12</x:v>
      </x:c>
      <x:c r="B44" s="40" t="n">
        <x:v>0</x:v>
      </x:c>
      <x:c r="C44" s="40" t="n">
        <x:v>0.01</x:v>
      </x:c>
      <x:c r="D44" s="64"/>
      <x:c r="E44" s="64"/>
    </x:row>
    <x:row r="45" ht="52" customHeight="1">
      <x:c r="A45" s="64" t="str">
        <x:v>Share checks</x:v>
      </x:c>
      <x:c r="B45" s="42" t="n">
        <x:f>SUM(B33:B44)</x:f>
        <x:v>1</x:v>
      </x:c>
      <x:c r="C45" s="42" t="n">
        <x:f>SUM(C33:C44)</x:f>
        <x:v>1.0000000000000002</x:v>
      </x:c>
      <x:c r="D45" s="64"/>
      <x:c r="E45" s="64"/>
    </x:row>
    <x:row r="46" ht="52" customHeight="1">
      <x:c r="A46" s="64"/>
      <x:c r="B46" s="4"/>
      <x:c r="C46" s="4"/>
      <x:c r="D46" s="64"/>
      <x:c r="E46" s="64"/>
    </x:row>
  </x:sheetData>
  <x:mergeCells>
    <x:mergeCell ref="A1:F1"/>
    <x:mergeCell ref="A30:E30"/>
  </x:mergeCells>
  <x:pageMargins left="0.7" right="0.7" top="0.75" bottom="0.75" header="0.3" footer="0.3"/>
  <x:legacyDrawing xmlns:r="http://schemas.openxmlformats.org/officeDocument/2006/relationships" r:id="R20f64eb3efd047b5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58" hidden="0" customWidth="1"/>
  </x:cols>
  <x:sheetData>
    <x:row r="1" ht="38" customHeight="1">
      <x:c r="A1" s="8" t="str">
        <x:v>SCENARIO ASSUMPTIONS | ALL REQUIRE PILOT VALIDATION</x:v>
      </x:c>
      <x:c r="B1" s="8"/>
      <x:c r="C1" s="8"/>
      <x:c r="D1" s="8"/>
      <x:c r="E1" s="8"/>
      <x:c r="F1" s="8"/>
    </x:row>
    <x:row r="2" ht="23" customHeight="1">
      <x:c r="A2" s="64"/>
      <x:c r="B2" s="4"/>
      <x:c r="C2" s="4"/>
      <x:c r="D2" s="4"/>
      <x:c r="E2" s="4"/>
      <x:c r="F2" s="64"/>
    </x:row>
    <x:row r="3" ht="40" customHeight="1">
      <x:c r="A3" s="14" t="str">
        <x:v>Assumption</x:v>
      </x:c>
      <x:c r="B3" s="14" t="str">
        <x:v>Conservative</x:v>
      </x:c>
      <x:c r="C3" s="14" t="str">
        <x:v>Base</x:v>
      </x:c>
      <x:c r="D3" s="14" t="str">
        <x:v>Optimistic</x:v>
      </x:c>
      <x:c r="E3" s="14" t="str">
        <x:v>Unit</x:v>
      </x:c>
      <x:c r="F3" s="14" t="str">
        <x:v>Basis</x:v>
      </x:c>
    </x:row>
    <x:row r="4" ht="44" customHeight="1">
      <x:c r="A4" s="64" t="str">
        <x:v>DTC realized per book, after bundle/coupon mix</x:v>
      </x:c>
      <x:c r="B4" s="30" t="n">
        <x:v>429</x:v>
      </x:c>
      <x:c r="C4" s="30" t="n">
        <x:v>479</x:v>
      </x:c>
      <x:c r="D4" s="30" t="n">
        <x:v>499</x:v>
      </x:c>
      <x:c r="E4" s="4" t="str">
        <x:v>INR</x:v>
      </x:c>
      <x:c r="F4" s="64" t="str">
        <x:v>Planning estimate; replace with paid pilot and supplier/account quotations.</x:v>
      </x:c>
    </x:row>
    <x:row r="5" ht="44" customHeight="1">
      <x:c r="A5" s="64" t="str">
        <x:v>Marketplace selling price</x:v>
      </x:c>
      <x:c r="B5" s="30" t="n">
        <x:v>449</x:v>
      </x:c>
      <x:c r="C5" s="30" t="n">
        <x:v>499</x:v>
      </x:c>
      <x:c r="D5" s="30" t="n">
        <x:v>519</x:v>
      </x:c>
      <x:c r="E5" s="4" t="str">
        <x:v>INR</x:v>
      </x:c>
      <x:c r="F5" s="64" t="str">
        <x:v>Planning estimate; replace with paid pilot and supplier/account quotations.</x:v>
      </x:c>
    </x:row>
    <x:row r="6" ht="44" customHeight="1">
      <x:c r="A6" s="64" t="str">
        <x:v>Bulk discount from MRP</x:v>
      </x:c>
      <x:c r="B6" s="40" t="n">
        <x:v>0.3</x:v>
      </x:c>
      <x:c r="C6" s="40" t="n">
        <x:v>0.25</x:v>
      </x:c>
      <x:c r="D6" s="40" t="n">
        <x:v>0.2</x:v>
      </x:c>
      <x:c r="E6" s="4" t="str">
        <x:v>rate</x:v>
      </x:c>
      <x:c r="F6" s="64" t="str">
        <x:v>Planning estimate; replace with paid pilot and supplier/account quotations.</x:v>
      </x:c>
    </x:row>
    <x:row r="7" ht="44" customHeight="1">
      <x:c r="A7" s="64" t="str">
        <x:v>Combined distributor/retailer discount from MRP</x:v>
      </x:c>
      <x:c r="B7" s="40" t="n">
        <x:v>0.45</x:v>
      </x:c>
      <x:c r="C7" s="40" t="n">
        <x:v>0.4</x:v>
      </x:c>
      <x:c r="D7" s="40" t="n">
        <x:v>0.35</x:v>
      </x:c>
      <x:c r="E7" s="4" t="str">
        <x:v>rate</x:v>
      </x:c>
      <x:c r="F7" s="64" t="str">
        <x:v>Planning estimate; replace with paid pilot and supplier/account quotations.</x:v>
      </x:c>
    </x:row>
    <x:row r="8" ht="44" customHeight="1">
      <x:c r="A8" s="64" t="str">
        <x:v>Direct-to-consumer unit share</x:v>
      </x:c>
      <x:c r="B8" s="40" t="n">
        <x:v>0.3</x:v>
      </x:c>
      <x:c r="C8" s="40" t="n">
        <x:v>0.45</x:v>
      </x:c>
      <x:c r="D8" s="40" t="n">
        <x:v>0.6</x:v>
      </x:c>
      <x:c r="E8" s="4" t="str">
        <x:v>rate</x:v>
      </x:c>
      <x:c r="F8" s="64" t="str">
        <x:v>Planning estimate; replace with paid pilot and supplier/account quotations.</x:v>
      </x:c>
    </x:row>
    <x:row r="9" ht="44" customHeight="1">
      <x:c r="A9" s="64" t="str">
        <x:v>Institutional/bulk unit share</x:v>
      </x:c>
      <x:c r="B9" s="40" t="n">
        <x:v>0.2</x:v>
      </x:c>
      <x:c r="C9" s="40" t="n">
        <x:v>0.2</x:v>
      </x:c>
      <x:c r="D9" s="40" t="n">
        <x:v>0.2</x:v>
      </x:c>
      <x:c r="E9" s="4" t="str">
        <x:v>rate</x:v>
      </x:c>
      <x:c r="F9" s="64" t="str">
        <x:v>Planning estimate; replace with paid pilot and supplier/account quotations.</x:v>
      </x:c>
    </x:row>
    <x:row r="10" ht="44" customHeight="1">
      <x:c r="A10" s="64" t="str">
        <x:v>Trade unit share</x:v>
      </x:c>
      <x:c r="B10" s="40" t="n">
        <x:v>0.35</x:v>
      </x:c>
      <x:c r="C10" s="40" t="n">
        <x:v>0.25</x:v>
      </x:c>
      <x:c r="D10" s="40" t="n">
        <x:v>0.15</x:v>
      </x:c>
      <x:c r="E10" s="4" t="str">
        <x:v>rate</x:v>
      </x:c>
      <x:c r="F10" s="64" t="str">
        <x:v>Planning estimate; replace with paid pilot and supplier/account quotations.</x:v>
      </x:c>
    </x:row>
    <x:row r="11" ht="44" customHeight="1">
      <x:c r="A11" s="64" t="str">
        <x:v>Marketplace unit share</x:v>
      </x:c>
      <x:c r="B11" s="40" t="n">
        <x:v>0.15</x:v>
      </x:c>
      <x:c r="C11" s="40" t="n">
        <x:v>0.1</x:v>
      </x:c>
      <x:c r="D11" s="40" t="n">
        <x:v>0.05</x:v>
      </x:c>
      <x:c r="E11" s="4" t="str">
        <x:v>rate</x:v>
      </x:c>
      <x:c r="F11" s="64" t="str">
        <x:v>Planning estimate; replace with paid pilot and supplier/account quotations.</x:v>
      </x:c>
    </x:row>
    <x:row r="12" ht="44" customHeight="1">
      <x:c r="A12" s="64" t="str">
        <x:v>DTC retained books per customer/order</x:v>
      </x:c>
      <x:c r="B12" s="30" t="n">
        <x:v>1.2</x:v>
      </x:c>
      <x:c r="C12" s="30" t="n">
        <x:v>1.5</x:v>
      </x:c>
      <x:c r="D12" s="30" t="n">
        <x:v>1.8</x:v>
      </x:c>
      <x:c r="E12" s="4" t="str">
        <x:v>books/order</x:v>
      </x:c>
      <x:c r="F12" s="64" t="str">
        <x:v>Planning estimate; replace with paid pilot and supplier/account quotations.</x:v>
      </x:c>
    </x:row>
    <x:row r="13" ht="44" customHeight="1">
      <x:c r="A13" s="64" t="str">
        <x:v>DTC incremental CAC; paid/referral blended</x:v>
      </x:c>
      <x:c r="B13" s="30" t="n">
        <x:v>220</x:v>
      </x:c>
      <x:c r="C13" s="30" t="n">
        <x:v>120</x:v>
      </x:c>
      <x:c r="D13" s="30" t="n">
        <x:v>70</x:v>
      </x:c>
      <x:c r="E13" s="4" t="str">
        <x:v>INR/customer</x:v>
      </x:c>
      <x:c r="F13" s="64" t="str">
        <x:v>Planning estimate; replace with paid pilot and supplier/account quotations.</x:v>
      </x:c>
    </x:row>
    <x:row r="14" ht="44" customHeight="1">
      <x:c r="A14" s="64" t="str">
        <x:v>DTC courier per order</x:v>
      </x:c>
      <x:c r="B14" s="30" t="n">
        <x:v>85</x:v>
      </x:c>
      <x:c r="C14" s="30" t="n">
        <x:v>65</x:v>
      </x:c>
      <x:c r="D14" s="30" t="n">
        <x:v>55</x:v>
      </x:c>
      <x:c r="E14" s="4" t="str">
        <x:v>INR/order</x:v>
      </x:c>
      <x:c r="F14" s="64" t="str">
        <x:v>Planning estimate; replace with paid pilot and supplier/account quotations.</x:v>
      </x:c>
    </x:row>
    <x:row r="15" ht="44" customHeight="1">
      <x:c r="A15" s="64" t="str">
        <x:v>Packaging per DTC order / marketplace unit</x:v>
      </x:c>
      <x:c r="B15" s="30" t="n">
        <x:v>14</x:v>
      </x:c>
      <x:c r="C15" s="30" t="n">
        <x:v>12</x:v>
      </x:c>
      <x:c r="D15" s="30" t="n">
        <x:v>10</x:v>
      </x:c>
      <x:c r="E15" s="4" t="str">
        <x:v>INR</x:v>
      </x:c>
      <x:c r="F15" s="64" t="str">
        <x:v>Planning estimate; replace with paid pilot and supplier/account quotations.</x:v>
      </x:c>
    </x:row>
    <x:row r="16" ht="44" customHeight="1">
      <x:c r="A16" s="64" t="str">
        <x:v>Bulk freight per book</x:v>
      </x:c>
      <x:c r="B16" s="30" t="n">
        <x:v>15</x:v>
      </x:c>
      <x:c r="C16" s="30" t="n">
        <x:v>10</x:v>
      </x:c>
      <x:c r="D16" s="30" t="n">
        <x:v>8</x:v>
      </x:c>
      <x:c r="E16" s="4" t="str">
        <x:v>INR/book</x:v>
      </x:c>
      <x:c r="F16" s="64" t="str">
        <x:v>Planning estimate; replace with paid pilot and supplier/account quotations.</x:v>
      </x:c>
    </x:row>
    <x:row r="17" ht="44" customHeight="1">
      <x:c r="A17" s="64" t="str">
        <x:v>Trade freight per book</x:v>
      </x:c>
      <x:c r="B17" s="30" t="n">
        <x:v>12</x:v>
      </x:c>
      <x:c r="C17" s="30" t="n">
        <x:v>8</x:v>
      </x:c>
      <x:c r="D17" s="30" t="n">
        <x:v>6</x:v>
      </x:c>
      <x:c r="E17" s="4" t="str">
        <x:v>INR/book</x:v>
      </x:c>
      <x:c r="F17" s="64" t="str">
        <x:v>Planning estimate; replace with paid pilot and supplier/account quotations.</x:v>
      </x:c>
    </x:row>
    <x:row r="18" ht="44" customHeight="1">
      <x:c r="A18" s="64" t="str">
        <x:v>All-in marketplace selling/closing/fulfillment cash fee</x:v>
      </x:c>
      <x:c r="B18" s="30" t="n">
        <x:v>105</x:v>
      </x:c>
      <x:c r="C18" s="30" t="n">
        <x:v>90</x:v>
      </x:c>
      <x:c r="D18" s="30" t="n">
        <x:v>80</x:v>
      </x:c>
      <x:c r="E18" s="4" t="str">
        <x:v>INR/book</x:v>
      </x:c>
      <x:c r="F18" s="64" t="str">
        <x:v>Planning estimate; replace with paid pilot and supplier/account quotations.</x:v>
      </x:c>
    </x:row>
    <x:row r="19" ht="44" customHeight="1">
      <x:c r="A19" s="64" t="str">
        <x:v>Marketplace advertising per retained book</x:v>
      </x:c>
      <x:c r="B19" s="30" t="n">
        <x:v>45</x:v>
      </x:c>
      <x:c r="C19" s="30" t="n">
        <x:v>25</x:v>
      </x:c>
      <x:c r="D19" s="30" t="n">
        <x:v>15</x:v>
      </x:c>
      <x:c r="E19" s="4" t="str">
        <x:v>INR/book</x:v>
      </x:c>
      <x:c r="F19" s="64" t="str">
        <x:v>Planning estimate; replace with paid pilot and supplier/account quotations.</x:v>
      </x:c>
    </x:row>
    <x:row r="20" ht="44" customHeight="1">
      <x:c r="A20" s="64" t="str">
        <x:v>Bulk field servicing / partner acquisition</x:v>
      </x:c>
      <x:c r="B20" s="30" t="n">
        <x:v>10</x:v>
      </x:c>
      <x:c r="C20" s="30" t="n">
        <x:v>7</x:v>
      </x:c>
      <x:c r="D20" s="30" t="n">
        <x:v>5</x:v>
      </x:c>
      <x:c r="E20" s="4" t="str">
        <x:v>INR/book</x:v>
      </x:c>
      <x:c r="F20" s="64" t="str">
        <x:v>Planning estimate; replace with paid pilot and supplier/account quotations.</x:v>
      </x:c>
    </x:row>
    <x:row r="21" ht="44" customHeight="1">
      <x:c r="A21" s="64" t="str">
        <x:v>Trade field servicing cost</x:v>
      </x:c>
      <x:c r="B21" s="30" t="n">
        <x:v>12</x:v>
      </x:c>
      <x:c r="C21" s="30" t="n">
        <x:v>8</x:v>
      </x:c>
      <x:c r="D21" s="30" t="n">
        <x:v>5</x:v>
      </x:c>
      <x:c r="E21" s="4" t="str">
        <x:v>INR/book</x:v>
      </x:c>
      <x:c r="F21" s="64" t="str">
        <x:v>Planning estimate; replace with paid pilot and supplier/account quotations.</x:v>
      </x:c>
    </x:row>
    <x:row r="22" ht="44" customHeight="1">
      <x:c r="A22" s="64" t="str">
        <x:v>DTC reverse-logistics/chargeback reserve</x:v>
      </x:c>
      <x:c r="B22" s="30" t="n">
        <x:v>18</x:v>
      </x:c>
      <x:c r="C22" s="30" t="n">
        <x:v>10</x:v>
      </x:c>
      <x:c r="D22" s="30" t="n">
        <x:v>5</x:v>
      </x:c>
      <x:c r="E22" s="4" t="str">
        <x:v>INR/book</x:v>
      </x:c>
      <x:c r="F22" s="64" t="str">
        <x:v>Planning estimate; replace with paid pilot and supplier/account quotations.</x:v>
      </x:c>
    </x:row>
    <x:row r="23" ht="44" customHeight="1">
      <x:c r="A23" s="64" t="str">
        <x:v>Bulk leakage/collections reserve</x:v>
      </x:c>
      <x:c r="B23" s="30" t="n">
        <x:v>3</x:v>
      </x:c>
      <x:c r="C23" s="30" t="n">
        <x:v>2</x:v>
      </x:c>
      <x:c r="D23" s="30" t="n">
        <x:v>1</x:v>
      </x:c>
      <x:c r="E23" s="4" t="str">
        <x:v>INR/book</x:v>
      </x:c>
      <x:c r="F23" s="64" t="str">
        <x:v>Planning estimate; replace with paid pilot and supplier/account quotations.</x:v>
      </x:c>
    </x:row>
    <x:row r="24" ht="44" customHeight="1">
      <x:c r="A24" s="64" t="str">
        <x:v>Trade bad debt/claims reserve</x:v>
      </x:c>
      <x:c r="B24" s="30" t="n">
        <x:v>6</x:v>
      </x:c>
      <x:c r="C24" s="30" t="n">
        <x:v>4</x:v>
      </x:c>
      <x:c r="D24" s="30" t="n">
        <x:v>2</x:v>
      </x:c>
      <x:c r="E24" s="4" t="str">
        <x:v>INR/book</x:v>
      </x:c>
      <x:c r="F24" s="64" t="str">
        <x:v>Planning estimate; replace with paid pilot and supplier/account quotations.</x:v>
      </x:c>
    </x:row>
    <x:row r="25" ht="44" customHeight="1">
      <x:c r="A25" s="64" t="str">
        <x:v>Marketplace reverse-logistics reserve</x:v>
      </x:c>
      <x:c r="B25" s="30" t="n">
        <x:v>25</x:v>
      </x:c>
      <x:c r="C25" s="30" t="n">
        <x:v>18</x:v>
      </x:c>
      <x:c r="D25" s="30" t="n">
        <x:v>12</x:v>
      </x:c>
      <x:c r="E25" s="4" t="str">
        <x:v>INR/book</x:v>
      </x:c>
      <x:c r="F25" s="64" t="str">
        <x:v>Planning estimate; replace with paid pilot and supplier/account quotations.</x:v>
      </x:c>
    </x:row>
    <x:row r="26" ht="44" customHeight="1">
      <x:c r="A26" s="64" t="str">
        <x:v>Book entitlement activation rate</x:v>
      </x:c>
      <x:c r="B26" s="40" t="n">
        <x:v>0.5</x:v>
      </x:c>
      <x:c r="C26" s="40" t="n">
        <x:v>0.7</x:v>
      </x:c>
      <x:c r="D26" s="40" t="n">
        <x:v>0.8</x:v>
      </x:c>
      <x:c r="E26" s="4" t="str">
        <x:v>rate</x:v>
      </x:c>
      <x:c r="F26" s="64" t="str">
        <x:v>Planning estimate; replace with paid pilot and supplier/account quotations.</x:v>
      </x:c>
    </x:row>
    <x:row r="27" ht="44" customHeight="1">
      <x:c r="A27" s="64" t="str">
        <x:v>Service/OTP/support per retained book</x:v>
      </x:c>
      <x:c r="B27" s="30" t="n">
        <x:v>12</x:v>
      </x:c>
      <x:c r="C27" s="30" t="n">
        <x:v>8</x:v>
      </x:c>
      <x:c r="D27" s="30" t="n">
        <x:v>6</x:v>
      </x:c>
      <x:c r="E27" s="4" t="str">
        <x:v>INR/book</x:v>
      </x:c>
      <x:c r="F27" s="64" t="str">
        <x:v>Planning estimate; replace with paid pilot and supplier/account quotations.</x:v>
      </x:c>
    </x:row>
    <x:row r="28" ht="44" customHeight="1">
      <x:c r="A28" s="64" t="str">
        <x:v>Retained copies / all copies printed</x:v>
      </x:c>
      <x:c r="B28" s="40" t="n">
        <x:v>0.75</x:v>
      </x:c>
      <x:c r="C28" s="40" t="n">
        <x:v>0.9</x:v>
      </x:c>
      <x:c r="D28" s="40" t="n">
        <x:v>0.97</x:v>
      </x:c>
      <x:c r="E28" s="4" t="str">
        <x:v>rate</x:v>
      </x:c>
      <x:c r="F28" s="64" t="str">
        <x:v>Planning estimate; replace with paid pilot and supplier/account quotations.</x:v>
      </x:c>
    </x:row>
    <x:row r="29" ht="44" customHeight="1">
      <x:c r="A29" s="64"/>
      <x:c r="B29" s="4"/>
      <x:c r="C29" s="4"/>
      <x:c r="D29" s="4"/>
      <x:c r="E29" s="4"/>
      <x:c r="F29" s="64"/>
    </x:row>
    <x:row r="30" ht="44" customHeight="1">
      <x:c r="A30" s="64" t="str">
        <x:v>Channel mix check (must equal 100%)</x:v>
      </x:c>
      <x:c r="B30" s="42" t="n">
        <x:f>SUM(B8:B11)</x:f>
        <x:v>1</x:v>
      </x:c>
      <x:c r="C30" s="42" t="n">
        <x:f>SUM(C8:C11)</x:f>
        <x:v>1</x:v>
      </x:c>
      <x:c r="D30" s="42" t="n">
        <x:f>SUM(D8:D11)</x:f>
        <x:v>1</x:v>
      </x:c>
      <x:c r="E30" s="4"/>
      <x:c r="F30" s="64"/>
    </x:row>
    <x:row r="31" ht="44" customHeight="1">
      <x:c r="A31" s="64"/>
      <x:c r="B31" s="4"/>
      <x:c r="C31" s="4"/>
      <x:c r="D31" s="4"/>
      <x:c r="E31" s="4"/>
      <x:c r="F31" s="64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1a5e1c0a9c4f4d57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3" hidden="0" customWidth="1"/>
    <x:col min="5" max="5" width="55" hidden="0" customWidth="1"/>
    <x:col min="6" max="6" width="58" hidden="0" customWidth="1"/>
  </x:cols>
  <x:sheetData>
    <x:row r="1" ht="38" customHeight="1">
      <x:c r="A1" s="8" t="str">
        <x:v>VOLUME INPUTS | PRINT QUOTES MUST BE PER TITLE / LANGUAGE / RUN</x:v>
      </x:c>
      <x:c r="B1" s="8"/>
      <x:c r="C1" s="8"/>
      <x:c r="D1" s="8"/>
      <x:c r="E1" s="8"/>
      <x:c r="F1" s="8"/>
    </x:row>
    <x:row r="2" ht="23" customHeight="1">
      <x:c r="A2" s="4"/>
      <x:c r="B2" s="4"/>
      <x:c r="C2" s="4"/>
      <x:c r="D2" s="4"/>
      <x:c r="E2" s="64"/>
      <x:c r="F2" s="64"/>
    </x:row>
    <x:row r="3" ht="40" customHeight="1">
      <x:c r="A3" s="14" t="str">
        <x:v>Case</x:v>
      </x:c>
      <x:c r="B3" s="14" t="str">
        <x:v>Retained books</x:v>
      </x:c>
      <x:c r="C3" s="14" t="str">
        <x:v>Landed print INR/book</x:v>
      </x:c>
      <x:c r="D3" s="14" t="str">
        <x:v>Season fixed spend INR</x:v>
      </x:c>
      <x:c r="E3" s="14" t="str">
        <x:v>Print-cost status</x:v>
      </x:c>
      <x:c r="F3" s="14" t="str">
        <x:v>Fixed-cost scope</x:v>
      </x:c>
    </x:row>
    <x:row r="4" ht="58" customHeight="1">
      <x:c r="A4" s="4" t="str">
        <x:v>Conservative</x:v>
      </x:c>
      <x:c r="B4" s="19" t="n">
        <x:v>500</x:v>
      </x:c>
      <x:c r="C4" s="19" t="n">
        <x:v>190</x:v>
      </x:c>
      <x:c r="D4" s="19" t="n">
        <x:v>750000</x:v>
      </x:c>
      <x:c r="E4" s="64" t="str">
        <x:v>Estimate incl. cover, binding, activation insert, inbound freight and non-recovered tax.</x:v>
      </x:c>
      <x:c r="F4" s="64" t="str">
        <x:v>500: two-title pilot; 5,000: expanded season; 50,000: up to six titles, not all India.</x:v>
      </x:c>
    </x:row>
    <x:row r="5" ht="58" customHeight="1">
      <x:c r="A5" s="4" t="str">
        <x:v>Base</x:v>
      </x:c>
      <x:c r="B5" s="19" t="n">
        <x:v>500</x:v>
      </x:c>
      <x:c r="C5" s="19" t="n">
        <x:v>160</x:v>
      </x:c>
      <x:c r="D5" s="38" t="n">
        <x:f>'90-Day Budget'!B14</x:f>
        <x:v>650000</x:v>
      </x:c>
      <x:c r="E5" s="64" t="str">
        <x:v>Estimate incl. cover, binding, activation insert, inbound freight and non-recovered tax.</x:v>
      </x:c>
      <x:c r="F5" s="64" t="str">
        <x:v>500: two-title pilot; 5,000: expanded season; 50,000: up to six titles, not all India.</x:v>
      </x:c>
    </x:row>
    <x:row r="6" ht="58" customHeight="1">
      <x:c r="A6" s="4" t="str">
        <x:v>Optimistic</x:v>
      </x:c>
      <x:c r="B6" s="19" t="n">
        <x:v>500</x:v>
      </x:c>
      <x:c r="C6" s="19" t="n">
        <x:v>135</x:v>
      </x:c>
      <x:c r="D6" s="19" t="n">
        <x:v>600000</x:v>
      </x:c>
      <x:c r="E6" s="64" t="str">
        <x:v>Estimate incl. cover, binding, activation insert, inbound freight and non-recovered tax.</x:v>
      </x:c>
      <x:c r="F6" s="64" t="str">
        <x:v>500: two-title pilot; 5,000: expanded season; 50,000: up to six titles, not all India.</x:v>
      </x:c>
    </x:row>
    <x:row r="7" ht="58" customHeight="1">
      <x:c r="A7" s="4" t="str">
        <x:v>Conservative</x:v>
      </x:c>
      <x:c r="B7" s="19" t="n">
        <x:v>5000</x:v>
      </x:c>
      <x:c r="C7" s="19" t="n">
        <x:v>125</x:v>
      </x:c>
      <x:c r="D7" s="19" t="n">
        <x:v>1500000</x:v>
      </x:c>
      <x:c r="E7" s="64" t="str">
        <x:v>Estimate incl. cover, binding, activation insert, inbound freight and non-recovered tax.</x:v>
      </x:c>
      <x:c r="F7" s="64" t="str">
        <x:v>500: two-title pilot; 5,000: expanded season; 50,000: up to six titles, not all India.</x:v>
      </x:c>
    </x:row>
    <x:row r="8" ht="58" customHeight="1">
      <x:c r="A8" s="4" t="str">
        <x:v>Base</x:v>
      </x:c>
      <x:c r="B8" s="19" t="n">
        <x:v>5000</x:v>
      </x:c>
      <x:c r="C8" s="19" t="n">
        <x:v>105</x:v>
      </x:c>
      <x:c r="D8" s="38" t="n">
        <x:f>'90-Day Budget'!C14</x:f>
        <x:v>1200000</x:v>
      </x:c>
      <x:c r="E8" s="64" t="str">
        <x:v>Estimate incl. cover, binding, activation insert, inbound freight and non-recovered tax.</x:v>
      </x:c>
      <x:c r="F8" s="64" t="str">
        <x:v>500: two-title pilot; 5,000: expanded season; 50,000: up to six titles, not all India.</x:v>
      </x:c>
    </x:row>
    <x:row r="9" ht="58" customHeight="1">
      <x:c r="A9" s="4" t="str">
        <x:v>Optimistic</x:v>
      </x:c>
      <x:c r="B9" s="19" t="n">
        <x:v>5000</x:v>
      </x:c>
      <x:c r="C9" s="19" t="n">
        <x:v>88</x:v>
      </x:c>
      <x:c r="D9" s="19" t="n">
        <x:v>1000000</x:v>
      </x:c>
      <x:c r="E9" s="64" t="str">
        <x:v>Estimate incl. cover, binding, activation insert, inbound freight and non-recovered tax.</x:v>
      </x:c>
      <x:c r="F9" s="64" t="str">
        <x:v>500: two-title pilot; 5,000: expanded season; 50,000: up to six titles, not all India.</x:v>
      </x:c>
    </x:row>
    <x:row r="10" ht="58" customHeight="1">
      <x:c r="A10" s="4" t="str">
        <x:v>Conservative</x:v>
      </x:c>
      <x:c r="B10" s="19" t="n">
        <x:v>50000</x:v>
      </x:c>
      <x:c r="C10" s="19" t="n">
        <x:v>95</x:v>
      </x:c>
      <x:c r="D10" s="19" t="n">
        <x:v>5000000</x:v>
      </x:c>
      <x:c r="E10" s="64" t="str">
        <x:v>Estimate incl. cover, binding, activation insert, inbound freight and non-recovered tax.</x:v>
      </x:c>
      <x:c r="F10" s="64" t="str">
        <x:v>500: two-title pilot; 5,000: expanded season; 50,000: up to six titles, not all India.</x:v>
      </x:c>
    </x:row>
    <x:row r="11" ht="58" customHeight="1">
      <x:c r="A11" s="4" t="str">
        <x:v>Base</x:v>
      </x:c>
      <x:c r="B11" s="19" t="n">
        <x:v>50000</x:v>
      </x:c>
      <x:c r="C11" s="19" t="n">
        <x:v>78</x:v>
      </x:c>
      <x:c r="D11" s="38" t="n">
        <x:f>'90-Day Budget'!D14</x:f>
        <x:v>4000000</x:v>
      </x:c>
      <x:c r="E11" s="64" t="str">
        <x:v>Estimate incl. cover, binding, activation insert, inbound freight and non-recovered tax.</x:v>
      </x:c>
      <x:c r="F11" s="64" t="str">
        <x:v>500: two-title pilot; 5,000: expanded season; 50,000: up to six titles, not all India.</x:v>
      </x:c>
    </x:row>
    <x:row r="12" ht="58" customHeight="1">
      <x:c r="A12" s="4" t="str">
        <x:v>Optimistic</x:v>
      </x:c>
      <x:c r="B12" s="19" t="n">
        <x:v>50000</x:v>
      </x:c>
      <x:c r="C12" s="19" t="n">
        <x:v>65</x:v>
      </x:c>
      <x:c r="D12" s="19" t="n">
        <x:v>3500000</x:v>
      </x:c>
      <x:c r="E12" s="64" t="str">
        <x:v>Estimate incl. cover, binding, activation insert, inbound freight and non-recovered tax.</x:v>
      </x:c>
      <x:c r="F12" s="64" t="str">
        <x:v>500: two-title pilot; 5,000: expanded season; 50,000: up to six titles, not all India.</x:v>
      </x:c>
    </x:row>
    <x:row r="13" ht="58" customHeight="1">
      <x:c r="A13" s="4"/>
      <x:c r="B13" s="4"/>
      <x:c r="C13" s="4"/>
      <x:c r="D13" s="4"/>
      <x:c r="E13" s="64"/>
      <x:c r="F13" s="64"/>
    </x:row>
    <x:row r="14" ht="58" customHeight="1">
      <x:c r="A14" s="4"/>
      <x:c r="B14" s="4"/>
      <x:c r="C14" s="4"/>
      <x:c r="D14" s="4"/>
      <x:c r="E14" s="64"/>
      <x:c r="F14" s="64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bbd99b527105409b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8" t="str">
        <x:v>UNIT ECONOMICS | INR PER RETAINED BOOK UNLESS STATED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40" customHeight="1">
      <x:c r="A3" s="14" t="str">
        <x:v>Case / season</x:v>
      </x:c>
      <x:c r="B3" s="14" t="str">
        <x:v>Conservative | 500</x:v>
      </x:c>
      <x:c r="C3" s="14" t="str">
        <x:v>Base | 500</x:v>
      </x:c>
      <x:c r="D3" s="14" t="str">
        <x:v>Optimistic | 500</x:v>
      </x:c>
      <x:c r="E3" s="14" t="str">
        <x:v>Conservative | 5,000</x:v>
      </x:c>
      <x:c r="F3" s="14" t="str">
        <x:v>Base | 5,000</x:v>
      </x:c>
      <x:c r="G3" s="14" t="str">
        <x:v>Optimistic | 5,000</x:v>
      </x:c>
      <x:c r="H3" s="14" t="str">
        <x:v>Conservative | 50,000</x:v>
      </x:c>
      <x:c r="I3" s="14" t="str">
        <x:v>Base | 50,000</x:v>
      </x:c>
      <x:c r="J3" s="14" t="str">
        <x:v>Optimistic | 50,000</x:v>
      </x:c>
    </x:row>
    <x:row r="4" ht="23" customHeight="1">
      <x:c r="A4" s="4" t="str">
        <x:v>Retained books</x:v>
      </x:c>
      <x:c r="B4" s="44" t="n">
        <x:f>'Volume Inputs'!B4</x:f>
        <x:v>500</x:v>
      </x:c>
      <x:c r="C4" s="44" t="n">
        <x:f>'Volume Inputs'!B5</x:f>
        <x:v>500</x:v>
      </x:c>
      <x:c r="D4" s="44" t="n">
        <x:f>'Volume Inputs'!B6</x:f>
        <x:v>500</x:v>
      </x:c>
      <x:c r="E4" s="44" t="n">
        <x:f>'Volume Inputs'!B7</x:f>
        <x:v>5000</x:v>
      </x:c>
      <x:c r="F4" s="44" t="n">
        <x:f>'Volume Inputs'!B8</x:f>
        <x:v>5000</x:v>
      </x:c>
      <x:c r="G4" s="44" t="n">
        <x:f>'Volume Inputs'!B9</x:f>
        <x:v>5000</x:v>
      </x:c>
      <x:c r="H4" s="44" t="n">
        <x:f>'Volume Inputs'!B10</x:f>
        <x:v>50000</x:v>
      </x:c>
      <x:c r="I4" s="44" t="n">
        <x:f>'Volume Inputs'!B11</x:f>
        <x:v>50000</x:v>
      </x:c>
      <x:c r="J4" s="44" t="n">
        <x:f>'Volume Inputs'!B12</x:f>
        <x:v>50000</x:v>
      </x:c>
    </x:row>
    <x:row r="5" ht="23" customHeight="1">
      <x:c r="A5" s="4" t="str">
        <x:v>Total copies printed</x:v>
      </x:c>
      <x:c r="B5" s="44" t="n">
        <x:f>ROUNDUP(B4/'Scenario Inputs'!$B$28,0)</x:f>
        <x:v>667</x:v>
      </x:c>
      <x:c r="C5" s="44" t="n">
        <x:f>ROUNDUP(C4/'Scenario Inputs'!$C$28,0)</x:f>
        <x:v>556</x:v>
      </x:c>
      <x:c r="D5" s="44" t="n">
        <x:f>ROUNDUP(D4/'Scenario Inputs'!$D$28,0)</x:f>
        <x:v>516</x:v>
      </x:c>
      <x:c r="E5" s="44" t="n">
        <x:f>ROUNDUP(E4/'Scenario Inputs'!$B$28,0)</x:f>
        <x:v>6667</x:v>
      </x:c>
      <x:c r="F5" s="44" t="n">
        <x:f>ROUNDUP(F4/'Scenario Inputs'!$C$28,0)</x:f>
        <x:v>5556</x:v>
      </x:c>
      <x:c r="G5" s="44" t="n">
        <x:f>ROUNDUP(G4/'Scenario Inputs'!$D$28,0)</x:f>
        <x:v>5155</x:v>
      </x:c>
      <x:c r="H5" s="44" t="n">
        <x:f>ROUNDUP(H4/'Scenario Inputs'!$B$28,0)</x:f>
        <x:v>66667</x:v>
      </x:c>
      <x:c r="I5" s="44" t="n">
        <x:f>ROUNDUP(I4/'Scenario Inputs'!$C$28,0)</x:f>
        <x:v>55556</x:v>
      </x:c>
      <x:c r="J5" s="44" t="n">
        <x:f>ROUNDUP(J4/'Scenario Inputs'!$D$28,0)</x:f>
        <x:v>51547</x:v>
      </x:c>
    </x:row>
    <x:row r="6" ht="23" customHeight="1">
      <x:c r="A6" s="4" t="str">
        <x:v>Landed print per copy</x:v>
      </x:c>
      <x:c r="B6" s="36" t="n">
        <x:f>'Volume Inputs'!C4</x:f>
        <x:v>190</x:v>
      </x:c>
      <x:c r="C6" s="36" t="n">
        <x:f>'Volume Inputs'!C5</x:f>
        <x:v>160</x:v>
      </x:c>
      <x:c r="D6" s="36" t="n">
        <x:f>'Volume Inputs'!C6</x:f>
        <x:v>135</x:v>
      </x:c>
      <x:c r="E6" s="36" t="n">
        <x:f>'Volume Inputs'!C7</x:f>
        <x:v>125</x:v>
      </x:c>
      <x:c r="F6" s="36" t="n">
        <x:f>'Volume Inputs'!C8</x:f>
        <x:v>105</x:v>
      </x:c>
      <x:c r="G6" s="36" t="n">
        <x:f>'Volume Inputs'!C9</x:f>
        <x:v>88</x:v>
      </x:c>
      <x:c r="H6" s="36" t="n">
        <x:f>'Volume Inputs'!C10</x:f>
        <x:v>95</x:v>
      </x:c>
      <x:c r="I6" s="36" t="n">
        <x:f>'Volume Inputs'!C11</x:f>
        <x:v>78</x:v>
      </x:c>
      <x:c r="J6" s="36" t="n">
        <x:f>'Volume Inputs'!C12</x:f>
        <x:v>65</x:v>
      </x:c>
    </x:row>
    <x:row r="7" ht="23" customHeight="1">
      <x:c r="A7" s="4" t="str">
        <x:v>Fixed season spend</x:v>
      </x:c>
      <x:c r="B7" s="36" t="n">
        <x:f>'Volume Inputs'!D4</x:f>
        <x:v>750000</x:v>
      </x:c>
      <x:c r="C7" s="36" t="n">
        <x:f>'Volume Inputs'!D5</x:f>
        <x:v>650000</x:v>
      </x:c>
      <x:c r="D7" s="36" t="n">
        <x:f>'Volume Inputs'!D6</x:f>
        <x:v>600000</x:v>
      </x:c>
      <x:c r="E7" s="36" t="n">
        <x:f>'Volume Inputs'!D7</x:f>
        <x:v>1500000</x:v>
      </x:c>
      <x:c r="F7" s="36" t="n">
        <x:f>'Volume Inputs'!D8</x:f>
        <x:v>1200000</x:v>
      </x:c>
      <x:c r="G7" s="36" t="n">
        <x:f>'Volume Inputs'!D9</x:f>
        <x:v>1000000</x:v>
      </x:c>
      <x:c r="H7" s="36" t="n">
        <x:f>'Volume Inputs'!D10</x:f>
        <x:v>5000000</x:v>
      </x:c>
      <x:c r="I7" s="36" t="n">
        <x:f>'Volume Inputs'!D11</x:f>
        <x:v>4000000</x:v>
      </x:c>
      <x:c r="J7" s="36" t="n">
        <x:f>'Volume Inputs'!D12</x:f>
        <x:v>3500000</x:v>
      </x:c>
    </x:row>
    <x:row r="8" ht="23" customHeight="1">
      <x:c r="A8" s="4"/>
      <x:c r="B8" s="36"/>
      <x:c r="C8" s="36"/>
      <x:c r="D8" s="36"/>
      <x:c r="E8" s="36"/>
      <x:c r="F8" s="36"/>
      <x:c r="G8" s="36"/>
      <x:c r="H8" s="36"/>
      <x:c r="I8" s="36"/>
      <x:c r="J8" s="36"/>
    </x:row>
    <x:row r="9" ht="23" customHeight="1">
      <x:c r="A9" s="4" t="str">
        <x:v>DTC share</x:v>
      </x:c>
      <x:c r="B9" s="48" t="n">
        <x:f>'Scenario Inputs'!$B$8</x:f>
        <x:v>0.3</x:v>
      </x:c>
      <x:c r="C9" s="48" t="n">
        <x:f>'Scenario Inputs'!$C$8</x:f>
        <x:v>0.45</x:v>
      </x:c>
      <x:c r="D9" s="48" t="n">
        <x:f>'Scenario Inputs'!$D$8</x:f>
        <x:v>0.6</x:v>
      </x:c>
      <x:c r="E9" s="48" t="n">
        <x:f>'Scenario Inputs'!$B$8</x:f>
        <x:v>0.3</x:v>
      </x:c>
      <x:c r="F9" s="48" t="n">
        <x:f>'Scenario Inputs'!$C$8</x:f>
        <x:v>0.45</x:v>
      </x:c>
      <x:c r="G9" s="48" t="n">
        <x:f>'Scenario Inputs'!$D$8</x:f>
        <x:v>0.6</x:v>
      </x:c>
      <x:c r="H9" s="48" t="n">
        <x:f>'Scenario Inputs'!$B$8</x:f>
        <x:v>0.3</x:v>
      </x:c>
      <x:c r="I9" s="48" t="n">
        <x:f>'Scenario Inputs'!$C$8</x:f>
        <x:v>0.45</x:v>
      </x:c>
      <x:c r="J9" s="48" t="n">
        <x:f>'Scenario Inputs'!$D$8</x:f>
        <x:v>0.6</x:v>
      </x:c>
    </x:row>
    <x:row r="10" ht="23" customHeight="1">
      <x:c r="A10" s="4" t="str">
        <x:v>Bulk share</x:v>
      </x:c>
      <x:c r="B10" s="48" t="n">
        <x:f>'Scenario Inputs'!$B$9</x:f>
        <x:v>0.2</x:v>
      </x:c>
      <x:c r="C10" s="48" t="n">
        <x:f>'Scenario Inputs'!$C$9</x:f>
        <x:v>0.2</x:v>
      </x:c>
      <x:c r="D10" s="48" t="n">
        <x:f>'Scenario Inputs'!$D$9</x:f>
        <x:v>0.2</x:v>
      </x:c>
      <x:c r="E10" s="48" t="n">
        <x:f>'Scenario Inputs'!$B$9</x:f>
        <x:v>0.2</x:v>
      </x:c>
      <x:c r="F10" s="48" t="n">
        <x:f>'Scenario Inputs'!$C$9</x:f>
        <x:v>0.2</x:v>
      </x:c>
      <x:c r="G10" s="48" t="n">
        <x:f>'Scenario Inputs'!$D$9</x:f>
        <x:v>0.2</x:v>
      </x:c>
      <x:c r="H10" s="48" t="n">
        <x:f>'Scenario Inputs'!$B$9</x:f>
        <x:v>0.2</x:v>
      </x:c>
      <x:c r="I10" s="48" t="n">
        <x:f>'Scenario Inputs'!$C$9</x:f>
        <x:v>0.2</x:v>
      </x:c>
      <x:c r="J10" s="48" t="n">
        <x:f>'Scenario Inputs'!$D$9</x:f>
        <x:v>0.2</x:v>
      </x:c>
    </x:row>
    <x:row r="11" ht="23" customHeight="1">
      <x:c r="A11" s="4" t="str">
        <x:v>Trade share</x:v>
      </x:c>
      <x:c r="B11" s="48" t="n">
        <x:f>'Scenario Inputs'!$B$10</x:f>
        <x:v>0.35</x:v>
      </x:c>
      <x:c r="C11" s="48" t="n">
        <x:f>'Scenario Inputs'!$C$10</x:f>
        <x:v>0.25</x:v>
      </x:c>
      <x:c r="D11" s="48" t="n">
        <x:f>'Scenario Inputs'!$D$10</x:f>
        <x:v>0.15</x:v>
      </x:c>
      <x:c r="E11" s="48" t="n">
        <x:f>'Scenario Inputs'!$B$10</x:f>
        <x:v>0.35</x:v>
      </x:c>
      <x:c r="F11" s="48" t="n">
        <x:f>'Scenario Inputs'!$C$10</x:f>
        <x:v>0.25</x:v>
      </x:c>
      <x:c r="G11" s="48" t="n">
        <x:f>'Scenario Inputs'!$D$10</x:f>
        <x:v>0.15</x:v>
      </x:c>
      <x:c r="H11" s="48" t="n">
        <x:f>'Scenario Inputs'!$B$10</x:f>
        <x:v>0.35</x:v>
      </x:c>
      <x:c r="I11" s="48" t="n">
        <x:f>'Scenario Inputs'!$C$10</x:f>
        <x:v>0.25</x:v>
      </x:c>
      <x:c r="J11" s="48" t="n">
        <x:f>'Scenario Inputs'!$D$10</x:f>
        <x:v>0.15</x:v>
      </x:c>
    </x:row>
    <x:row r="12" ht="23" customHeight="1">
      <x:c r="A12" s="4" t="str">
        <x:v>Marketplace share</x:v>
      </x:c>
      <x:c r="B12" s="48" t="n">
        <x:f>'Scenario Inputs'!$B$11</x:f>
        <x:v>0.15</x:v>
      </x:c>
      <x:c r="C12" s="48" t="n">
        <x:f>'Scenario Inputs'!$C$11</x:f>
        <x:v>0.1</x:v>
      </x:c>
      <x:c r="D12" s="48" t="n">
        <x:f>'Scenario Inputs'!$D$11</x:f>
        <x:v>0.05</x:v>
      </x:c>
      <x:c r="E12" s="48" t="n">
        <x:f>'Scenario Inputs'!$B$11</x:f>
        <x:v>0.15</x:v>
      </x:c>
      <x:c r="F12" s="48" t="n">
        <x:f>'Scenario Inputs'!$C$11</x:f>
        <x:v>0.1</x:v>
      </x:c>
      <x:c r="G12" s="48" t="n">
        <x:f>'Scenario Inputs'!$D$11</x:f>
        <x:v>0.05</x:v>
      </x:c>
      <x:c r="H12" s="48" t="n">
        <x:f>'Scenario Inputs'!$B$11</x:f>
        <x:v>0.15</x:v>
      </x:c>
      <x:c r="I12" s="48" t="n">
        <x:f>'Scenario Inputs'!$C$11</x:f>
        <x:v>0.1</x:v>
      </x:c>
      <x:c r="J12" s="48" t="n">
        <x:f>'Scenario Inputs'!$D$11</x:f>
        <x:v>0.05</x:v>
      </x:c>
    </x:row>
    <x:row r="13" ht="23" customHeight="1">
      <x:c r="A13" s="4" t="str">
        <x:v>Channel share check</x:v>
      </x:c>
      <x:c r="B13" s="48" t="n">
        <x:f>SUM(B9:B12)</x:f>
        <x:v>1</x:v>
      </x:c>
      <x:c r="C13" s="48" t="n">
        <x:f>SUM(C9:C12)</x:f>
        <x:v>1</x:v>
      </x:c>
      <x:c r="D13" s="48" t="n">
        <x:f>SUM(D9:D12)</x:f>
        <x:v>1</x:v>
      </x:c>
      <x:c r="E13" s="48" t="n">
        <x:f>SUM(E9:E12)</x:f>
        <x:v>1</x:v>
      </x:c>
      <x:c r="F13" s="48" t="n">
        <x:f>SUM(F9:F12)</x:f>
        <x:v>1</x:v>
      </x:c>
      <x:c r="G13" s="48" t="n">
        <x:f>SUM(G9:G12)</x:f>
        <x:v>1</x:v>
      </x:c>
      <x:c r="H13" s="48" t="n">
        <x:f>SUM(H9:H12)</x:f>
        <x:v>1</x:v>
      </x:c>
      <x:c r="I13" s="48" t="n">
        <x:f>SUM(I9:I12)</x:f>
        <x:v>1</x:v>
      </x:c>
      <x:c r="J13" s="48" t="n">
        <x:f>SUM(J9:J12)</x:f>
        <x:v>1</x:v>
      </x:c>
    </x:row>
    <x:row r="14" ht="23" customHeight="1">
      <x:c r="A14" s="4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 ht="23" customHeight="1">
      <x:c r="A15" s="4" t="str">
        <x:v>DTC realized price incl. modeled GST</x:v>
      </x:c>
      <x:c r="B15" s="36" t="n">
        <x:f>'Scenario Inputs'!$B$4</x:f>
        <x:v>429</x:v>
      </x:c>
      <x:c r="C15" s="36" t="n">
        <x:f>'Scenario Inputs'!$C$4</x:f>
        <x:v>479</x:v>
      </x:c>
      <x:c r="D15" s="36" t="n">
        <x:f>'Scenario Inputs'!$D$4</x:f>
        <x:v>499</x:v>
      </x:c>
      <x:c r="E15" s="36" t="n">
        <x:f>'Scenario Inputs'!$B$4</x:f>
        <x:v>429</x:v>
      </x:c>
      <x:c r="F15" s="36" t="n">
        <x:f>'Scenario Inputs'!$C$4</x:f>
        <x:v>479</x:v>
      </x:c>
      <x:c r="G15" s="36" t="n">
        <x:f>'Scenario Inputs'!$D$4</x:f>
        <x:v>499</x:v>
      </x:c>
      <x:c r="H15" s="36" t="n">
        <x:f>'Scenario Inputs'!$B$4</x:f>
        <x:v>429</x:v>
      </x:c>
      <x:c r="I15" s="36" t="n">
        <x:f>'Scenario Inputs'!$C$4</x:f>
        <x:v>479</x:v>
      </x:c>
      <x:c r="J15" s="36" t="n">
        <x:f>'Scenario Inputs'!$D$4</x:f>
        <x:v>499</x:v>
      </x:c>
    </x:row>
    <x:row r="16" ht="23" customHeight="1">
      <x:c r="A16" s="4" t="str">
        <x:v>Bulk publisher realization</x:v>
      </x:c>
      <x:c r="B16" s="36" t="n">
        <x:f>'Global Inputs'!$B$4*(1-'Scenario Inputs'!$B$6)</x:f>
        <x:v>384.29999999999995</x:v>
      </x:c>
      <x:c r="C16" s="36" t="n">
        <x:f>'Global Inputs'!$B$4*(1-'Scenario Inputs'!$C$6)</x:f>
        <x:v>411.75</x:v>
      </x:c>
      <x:c r="D16" s="36" t="n">
        <x:f>'Global Inputs'!$B$4*(1-'Scenario Inputs'!$D$6)</x:f>
        <x:v>439.20000000000005</x:v>
      </x:c>
      <x:c r="E16" s="36" t="n">
        <x:f>'Global Inputs'!$B$4*(1-'Scenario Inputs'!$B$6)</x:f>
        <x:v>384.29999999999995</x:v>
      </x:c>
      <x:c r="F16" s="36" t="n">
        <x:f>'Global Inputs'!$B$4*(1-'Scenario Inputs'!$C$6)</x:f>
        <x:v>411.75</x:v>
      </x:c>
      <x:c r="G16" s="36" t="n">
        <x:f>'Global Inputs'!$B$4*(1-'Scenario Inputs'!$D$6)</x:f>
        <x:v>439.20000000000005</x:v>
      </x:c>
      <x:c r="H16" s="36" t="n">
        <x:f>'Global Inputs'!$B$4*(1-'Scenario Inputs'!$B$6)</x:f>
        <x:v>384.29999999999995</x:v>
      </x:c>
      <x:c r="I16" s="36" t="n">
        <x:f>'Global Inputs'!$B$4*(1-'Scenario Inputs'!$C$6)</x:f>
        <x:v>411.75</x:v>
      </x:c>
      <x:c r="J16" s="36" t="n">
        <x:f>'Global Inputs'!$B$4*(1-'Scenario Inputs'!$D$6)</x:f>
        <x:v>439.20000000000005</x:v>
      </x:c>
    </x:row>
    <x:row r="17" ht="23" customHeight="1">
      <x:c r="A17" s="4" t="str">
        <x:v>Trade publisher realization</x:v>
      </x:c>
      <x:c r="B17" s="36" t="n">
        <x:f>'Global Inputs'!$B$4*(1-'Scenario Inputs'!$B$7)</x:f>
        <x:v>301.95000000000005</x:v>
      </x:c>
      <x:c r="C17" s="36" t="n">
        <x:f>'Global Inputs'!$B$4*(1-'Scenario Inputs'!$C$7)</x:f>
        <x:v>329.4</x:v>
      </x:c>
      <x:c r="D17" s="36" t="n">
        <x:f>'Global Inputs'!$B$4*(1-'Scenario Inputs'!$D$7)</x:f>
        <x:v>356.85</x:v>
      </x:c>
      <x:c r="E17" s="36" t="n">
        <x:f>'Global Inputs'!$B$4*(1-'Scenario Inputs'!$B$7)</x:f>
        <x:v>301.95000000000005</x:v>
      </x:c>
      <x:c r="F17" s="36" t="n">
        <x:f>'Global Inputs'!$B$4*(1-'Scenario Inputs'!$C$7)</x:f>
        <x:v>329.4</x:v>
      </x:c>
      <x:c r="G17" s="36" t="n">
        <x:f>'Global Inputs'!$B$4*(1-'Scenario Inputs'!$D$7)</x:f>
        <x:v>356.85</x:v>
      </x:c>
      <x:c r="H17" s="36" t="n">
        <x:f>'Global Inputs'!$B$4*(1-'Scenario Inputs'!$B$7)</x:f>
        <x:v>301.95000000000005</x:v>
      </x:c>
      <x:c r="I17" s="36" t="n">
        <x:f>'Global Inputs'!$B$4*(1-'Scenario Inputs'!$C$7)</x:f>
        <x:v>329.4</x:v>
      </x:c>
      <x:c r="J17" s="36" t="n">
        <x:f>'Global Inputs'!$B$4*(1-'Scenario Inputs'!$D$7)</x:f>
        <x:v>356.85</x:v>
      </x:c>
    </x:row>
    <x:row r="18" ht="23" customHeight="1">
      <x:c r="A18" s="4" t="str">
        <x:v>Marketplace gross selling price</x:v>
      </x:c>
      <x:c r="B18" s="36" t="n">
        <x:f>'Scenario Inputs'!$B$5</x:f>
        <x:v>449</x:v>
      </x:c>
      <x:c r="C18" s="36" t="n">
        <x:f>'Scenario Inputs'!$C$5</x:f>
        <x:v>499</x:v>
      </x:c>
      <x:c r="D18" s="36" t="n">
        <x:f>'Scenario Inputs'!$D$5</x:f>
        <x:v>519</x:v>
      </x:c>
      <x:c r="E18" s="36" t="n">
        <x:f>'Scenario Inputs'!$B$5</x:f>
        <x:v>449</x:v>
      </x:c>
      <x:c r="F18" s="36" t="n">
        <x:f>'Scenario Inputs'!$C$5</x:f>
        <x:v>499</x:v>
      </x:c>
      <x:c r="G18" s="36" t="n">
        <x:f>'Scenario Inputs'!$D$5</x:f>
        <x:v>519</x:v>
      </x:c>
      <x:c r="H18" s="36" t="n">
        <x:f>'Scenario Inputs'!$B$5</x:f>
        <x:v>449</x:v>
      </x:c>
      <x:c r="I18" s="36" t="n">
        <x:f>'Scenario Inputs'!$C$5</x:f>
        <x:v>499</x:v>
      </x:c>
      <x:c r="J18" s="36" t="n">
        <x:f>'Scenario Inputs'!$D$5</x:f>
        <x:v>519</x:v>
      </x:c>
    </x:row>
    <x:row r="19" ht="23" customHeight="1">
      <x:c r="A19" s="4" t="str">
        <x:v>Weighted publisher realization, gross</x:v>
      </x:c>
      <x:c r="B19" s="28" t="n">
        <x:f>B9*B15+B10*B16+B11*B17+B12*B18</x:f>
        <x:v>378.5925</x:v>
      </x:c>
      <x:c r="C19" s="28" t="n">
        <x:f>C9*C15+C10*C16+C11*C17+C12*C18</x:f>
        <x:v>430.15</x:v>
      </x:c>
      <x:c r="D19" s="28" t="n">
        <x:f>D9*D15+D10*D16+D11*D17+D12*D18</x:f>
        <x:v>466.71750000000003</x:v>
      </x:c>
      <x:c r="E19" s="28" t="n">
        <x:f>E9*E15+E10*E16+E11*E17+E12*E18</x:f>
        <x:v>378.5925</x:v>
      </x:c>
      <x:c r="F19" s="28" t="n">
        <x:f>F9*F15+F10*F16+F11*F17+F12*F18</x:f>
        <x:v>430.15</x:v>
      </x:c>
      <x:c r="G19" s="28" t="n">
        <x:f>G9*G15+G10*G16+G11*G17+G12*G18</x:f>
        <x:v>466.71750000000003</x:v>
      </x:c>
      <x:c r="H19" s="28" t="n">
        <x:f>H9*H15+H10*H16+H11*H17+H12*H18</x:f>
        <x:v>378.5925</x:v>
      </x:c>
      <x:c r="I19" s="28" t="n">
        <x:f>I9*I15+I10*I16+I11*I17+I12*I18</x:f>
        <x:v>430.15</x:v>
      </x:c>
      <x:c r="J19" s="28" t="n">
        <x:f>J9*J15+J10*J16+J11*J17+J12*J18</x:f>
        <x:v>466.71750000000003</x:v>
      </x:c>
    </x:row>
    <x:row r="20" ht="23" customHeight="1">
      <x:c r="A20" s="56" t="str">
        <x:v>Publisher revenue excluding GST</x:v>
      </x:c>
      <x:c r="B20" s="57" t="n">
        <x:f>B19/(1+'Global Inputs'!$B$5)</x:f>
        <x:v>320.84110169491527</x:v>
      </x:c>
      <x:c r="C20" s="57" t="n">
        <x:f>C19/(1+'Global Inputs'!$B$5)</x:f>
        <x:v>364.53389830508473</x:v>
      </x:c>
      <x:c r="D20" s="57" t="n">
        <x:f>D19/(1+'Global Inputs'!$B$5)</x:f>
        <x:v>395.5233050847458</x:v>
      </x:c>
      <x:c r="E20" s="57" t="n">
        <x:f>E19/(1+'Global Inputs'!$B$5)</x:f>
        <x:v>320.84110169491527</x:v>
      </x:c>
      <x:c r="F20" s="57" t="n">
        <x:f>F19/(1+'Global Inputs'!$B$5)</x:f>
        <x:v>364.53389830508473</x:v>
      </x:c>
      <x:c r="G20" s="57" t="n">
        <x:f>G19/(1+'Global Inputs'!$B$5)</x:f>
        <x:v>395.5233050847458</x:v>
      </x:c>
      <x:c r="H20" s="57" t="n">
        <x:f>H19/(1+'Global Inputs'!$B$5)</x:f>
        <x:v>320.84110169491527</x:v>
      </x:c>
      <x:c r="I20" s="57" t="n">
        <x:f>I19/(1+'Global Inputs'!$B$5)</x:f>
        <x:v>364.53389830508473</x:v>
      </x:c>
      <x:c r="J20" s="57" t="n">
        <x:f>J19/(1+'Global Inputs'!$B$5)</x:f>
        <x:v>395.5233050847458</x:v>
      </x:c>
    </x:row>
    <x:row r="21" ht="23" customHeight="1">
      <x:c r="A21" s="4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 ht="23" customHeight="1">
      <x:c r="A22" s="4" t="str">
        <x:v>Print cost of retained copy</x:v>
      </x:c>
      <x:c r="B22" s="28" t="n">
        <x:f>B6</x:f>
        <x:v>190</x:v>
      </x:c>
      <x:c r="C22" s="28" t="n">
        <x:f>C6</x:f>
        <x:v>160</x:v>
      </x:c>
      <x:c r="D22" s="28" t="n">
        <x:f>D6</x:f>
        <x:v>135</x:v>
      </x:c>
      <x:c r="E22" s="28" t="n">
        <x:f>E6</x:f>
        <x:v>125</x:v>
      </x:c>
      <x:c r="F22" s="28" t="n">
        <x:f>F6</x:f>
        <x:v>105</x:v>
      </x:c>
      <x:c r="G22" s="28" t="n">
        <x:f>G6</x:f>
        <x:v>88</x:v>
      </x:c>
      <x:c r="H22" s="28" t="n">
        <x:f>H6</x:f>
        <x:v>95</x:v>
      </x:c>
      <x:c r="I22" s="28" t="n">
        <x:f>I6</x:f>
        <x:v>78</x:v>
      </x:c>
      <x:c r="J22" s="28" t="n">
        <x:f>J6</x:f>
        <x:v>65</x:v>
      </x:c>
    </x:row>
    <x:row r="23" ht="23" customHeight="1">
      <x:c r="A23" s="4" t="str">
        <x:v>Unsold edition write-off / retained copy</x:v>
      </x:c>
      <x:c r="B23" s="28" t="n">
        <x:f>(B5-B4)*B6/B4</x:f>
        <x:v>63.46</x:v>
      </x:c>
      <x:c r="C23" s="28" t="n">
        <x:f>(C5-C4)*C6/C4</x:f>
        <x:v>17.92</x:v>
      </x:c>
      <x:c r="D23" s="28" t="n">
        <x:f>(D5-D4)*D6/D4</x:f>
        <x:v>4.32</x:v>
      </x:c>
      <x:c r="E23" s="28" t="n">
        <x:f>(E5-E4)*E6/E4</x:f>
        <x:v>41.675</x:v>
      </x:c>
      <x:c r="F23" s="28" t="n">
        <x:f>(F5-F4)*F6/F4</x:f>
        <x:v>11.676</x:v>
      </x:c>
      <x:c r="G23" s="28" t="n">
        <x:f>(G5-G4)*G6/G4</x:f>
        <x:v>2.728</x:v>
      </x:c>
      <x:c r="H23" s="28" t="n">
        <x:f>(H5-H4)*H6/H4</x:f>
        <x:v>31.6673</x:v>
      </x:c>
      <x:c r="I23" s="28" t="n">
        <x:f>(I5-I4)*I6/I4</x:f>
        <x:v>8.66736</x:v>
      </x:c>
      <x:c r="J23" s="28" t="n">
        <x:f>(J5-J4)*J6/J4</x:f>
        <x:v>2.0111</x:v>
      </x:c>
    </x:row>
    <x:row r="24" ht="23" customHeight="1">
      <x:c r="A24" s="56" t="str">
        <x:v>Total print burden / retained copy</x:v>
      </x:c>
      <x:c r="B24" s="57" t="n">
        <x:f>SUM(B22:B23)</x:f>
        <x:v>253.46</x:v>
      </x:c>
      <x:c r="C24" s="57" t="n">
        <x:f>SUM(C22:C23)</x:f>
        <x:v>177.92000000000002</x:v>
      </x:c>
      <x:c r="D24" s="57" t="n">
        <x:f>SUM(D22:D23)</x:f>
        <x:v>139.32</x:v>
      </x:c>
      <x:c r="E24" s="57" t="n">
        <x:f>SUM(E22:E23)</x:f>
        <x:v>166.675</x:v>
      </x:c>
      <x:c r="F24" s="57" t="n">
        <x:f>SUM(F22:F23)</x:f>
        <x:v>116.676</x:v>
      </x:c>
      <x:c r="G24" s="57" t="n">
        <x:f>SUM(G22:G23)</x:f>
        <x:v>90.728</x:v>
      </x:c>
      <x:c r="H24" s="57" t="n">
        <x:f>SUM(H22:H23)</x:f>
        <x:v>126.6673</x:v>
      </x:c>
      <x:c r="I24" s="57" t="n">
        <x:f>SUM(I22:I23)</x:f>
        <x:v>86.66736</x:v>
      </x:c>
      <x:c r="J24" s="57" t="n">
        <x:f>SUM(J22:J23)</x:f>
        <x:v>67.0111</x:v>
      </x:c>
    </x:row>
    <x:row r="25" ht="23" customHeight="1">
      <x:c r="A25" s="4"/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 ht="23" customHeight="1">
      <x:c r="A26" s="4" t="str">
        <x:v>Full entitlement streaming reserve</x:v>
      </x:c>
      <x:c r="B26" s="36" t="n">
        <x:f>'Scenario Inputs'!$B$26*'Global Inputs'!$B$10/1000*'Global Inputs'!$B$9*'Global Inputs'!$B$8*(1+'Global Inputs'!$B$11)</x:f>
        <x:v>21.24</x:v>
      </x:c>
      <x:c r="C26" s="36" t="n">
        <x:f>'Scenario Inputs'!$C$26*'Global Inputs'!$B$10/1000*'Global Inputs'!$B$9*'Global Inputs'!$B$8*(1+'Global Inputs'!$B$11)</x:f>
        <x:v>29.736</x:v>
      </x:c>
      <x:c r="D26" s="36" t="n">
        <x:f>'Scenario Inputs'!$D$26*'Global Inputs'!$B$10/1000*'Global Inputs'!$B$9*'Global Inputs'!$B$8*(1+'Global Inputs'!$B$11)</x:f>
        <x:v>33.984</x:v>
      </x:c>
      <x:c r="E26" s="36" t="n">
        <x:f>'Scenario Inputs'!$B$26*'Global Inputs'!$B$10/1000*'Global Inputs'!$B$9*'Global Inputs'!$B$8*(1+'Global Inputs'!$B$11)</x:f>
        <x:v>21.24</x:v>
      </x:c>
      <x:c r="F26" s="36" t="n">
        <x:f>'Scenario Inputs'!$C$26*'Global Inputs'!$B$10/1000*'Global Inputs'!$B$9*'Global Inputs'!$B$8*(1+'Global Inputs'!$B$11)</x:f>
        <x:v>29.736</x:v>
      </x:c>
      <x:c r="G26" s="36" t="n">
        <x:f>'Scenario Inputs'!$D$26*'Global Inputs'!$B$10/1000*'Global Inputs'!$B$9*'Global Inputs'!$B$8*(1+'Global Inputs'!$B$11)</x:f>
        <x:v>33.984</x:v>
      </x:c>
      <x:c r="H26" s="36" t="n">
        <x:f>'Scenario Inputs'!$B$26*'Global Inputs'!$B$10/1000*'Global Inputs'!$B$9*'Global Inputs'!$B$8*(1+'Global Inputs'!$B$11)</x:f>
        <x:v>21.24</x:v>
      </x:c>
      <x:c r="I26" s="36" t="n">
        <x:f>'Scenario Inputs'!$C$26*'Global Inputs'!$B$10/1000*'Global Inputs'!$B$9*'Global Inputs'!$B$8*(1+'Global Inputs'!$B$11)</x:f>
        <x:v>29.736</x:v>
      </x:c>
      <x:c r="J26" s="36" t="n">
        <x:f>'Scenario Inputs'!$D$26*'Global Inputs'!$B$10/1000*'Global Inputs'!$B$9*'Global Inputs'!$B$8*(1+'Global Inputs'!$B$11)</x:f>
        <x:v>33.984</x:v>
      </x:c>
    </x:row>
    <x:row r="27" ht="23" customHeight="1">
      <x:c r="A27" s="4" t="str">
        <x:v>Support / servicing</x:v>
      </x:c>
      <x:c r="B27" s="36" t="n">
        <x:f>'Scenario Inputs'!$B$27</x:f>
        <x:v>12</x:v>
      </x:c>
      <x:c r="C27" s="36" t="n">
        <x:f>'Scenario Inputs'!$C$27</x:f>
        <x:v>8</x:v>
      </x:c>
      <x:c r="D27" s="36" t="n">
        <x:f>'Scenario Inputs'!$D$27</x:f>
        <x:v>6</x:v>
      </x:c>
      <x:c r="E27" s="36" t="n">
        <x:f>'Scenario Inputs'!$B$27</x:f>
        <x:v>12</x:v>
      </x:c>
      <x:c r="F27" s="36" t="n">
        <x:f>'Scenario Inputs'!$C$27</x:f>
        <x:v>8</x:v>
      </x:c>
      <x:c r="G27" s="36" t="n">
        <x:f>'Scenario Inputs'!$D$27</x:f>
        <x:v>6</x:v>
      </x:c>
      <x:c r="H27" s="36" t="n">
        <x:f>'Scenario Inputs'!$B$27</x:f>
        <x:v>12</x:v>
      </x:c>
      <x:c r="I27" s="36" t="n">
        <x:f>'Scenario Inputs'!$C$27</x:f>
        <x:v>8</x:v>
      </x:c>
      <x:c r="J27" s="36" t="n">
        <x:f>'Scenario Inputs'!$D$27</x:f>
        <x:v>6</x:v>
      </x:c>
    </x:row>
    <x:row r="28" ht="23" customHeight="1">
      <x:c r="A28" s="4"/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 ht="23" customHeight="1">
      <x:c r="A29" s="4" t="str">
        <x:v>DTC gateway cost / book</x:v>
      </x:c>
      <x:c r="B29" s="28" t="n">
        <x:f>B15*'Global Inputs'!$B$6*(1+'Global Inputs'!$B$7)</x:f>
        <x:v>10.1244</x:v>
      </x:c>
      <x:c r="C29" s="28" t="n">
        <x:f>C15*'Global Inputs'!$B$6*(1+'Global Inputs'!$B$7)</x:f>
        <x:v>11.3044</x:v>
      </x:c>
      <x:c r="D29" s="28" t="n">
        <x:f>D15*'Global Inputs'!$B$6*(1+'Global Inputs'!$B$7)</x:f>
        <x:v>11.7764</x:v>
      </x:c>
      <x:c r="E29" s="28" t="n">
        <x:f>E15*'Global Inputs'!$B$6*(1+'Global Inputs'!$B$7)</x:f>
        <x:v>10.1244</x:v>
      </x:c>
      <x:c r="F29" s="28" t="n">
        <x:f>F15*'Global Inputs'!$B$6*(1+'Global Inputs'!$B$7)</x:f>
        <x:v>11.3044</x:v>
      </x:c>
      <x:c r="G29" s="28" t="n">
        <x:f>G15*'Global Inputs'!$B$6*(1+'Global Inputs'!$B$7)</x:f>
        <x:v>11.7764</x:v>
      </x:c>
      <x:c r="H29" s="28" t="n">
        <x:f>H15*'Global Inputs'!$B$6*(1+'Global Inputs'!$B$7)</x:f>
        <x:v>10.1244</x:v>
      </x:c>
      <x:c r="I29" s="28" t="n">
        <x:f>I15*'Global Inputs'!$B$6*(1+'Global Inputs'!$B$7)</x:f>
        <x:v>11.3044</x:v>
      </x:c>
      <x:c r="J29" s="28" t="n">
        <x:f>J15*'Global Inputs'!$B$6*(1+'Global Inputs'!$B$7)</x:f>
        <x:v>11.7764</x:v>
      </x:c>
    </x:row>
    <x:row r="30" ht="23" customHeight="1">
      <x:c r="A30" s="4" t="str">
        <x:v>DTC shipping, packing, gateway, returns</x:v>
      </x:c>
      <x:c r="B30" s="28" t="n">
        <x:f>('Scenario Inputs'!$B$14+'Scenario Inputs'!$B$15)/'Scenario Inputs'!$B$12+B29+'Scenario Inputs'!$B$22</x:f>
        <x:v>110.6244</x:v>
      </x:c>
      <x:c r="C30" s="28" t="n">
        <x:f>('Scenario Inputs'!$C$14+'Scenario Inputs'!$C$15)/'Scenario Inputs'!$C$12+C29+'Scenario Inputs'!$C$22</x:f>
        <x:v>72.63773333333333</x:v>
      </x:c>
      <x:c r="D30" s="28" t="n">
        <x:f>('Scenario Inputs'!$D$14+'Scenario Inputs'!$D$15)/'Scenario Inputs'!$D$12+D29+'Scenario Inputs'!$D$22</x:f>
        <x:v>52.88751111111111</x:v>
      </x:c>
      <x:c r="E30" s="28" t="n">
        <x:f>('Scenario Inputs'!$B$14+'Scenario Inputs'!$B$15)/'Scenario Inputs'!$B$12+E29+'Scenario Inputs'!$B$22</x:f>
        <x:v>110.6244</x:v>
      </x:c>
      <x:c r="F30" s="28" t="n">
        <x:f>('Scenario Inputs'!$C$14+'Scenario Inputs'!$C$15)/'Scenario Inputs'!$C$12+F29+'Scenario Inputs'!$C$22</x:f>
        <x:v>72.63773333333333</x:v>
      </x:c>
      <x:c r="G30" s="28" t="n">
        <x:f>('Scenario Inputs'!$D$14+'Scenario Inputs'!$D$15)/'Scenario Inputs'!$D$12+G29+'Scenario Inputs'!$D$22</x:f>
        <x:v>52.88751111111111</x:v>
      </x:c>
      <x:c r="H30" s="28" t="n">
        <x:f>('Scenario Inputs'!$B$14+'Scenario Inputs'!$B$15)/'Scenario Inputs'!$B$12+H29+'Scenario Inputs'!$B$22</x:f>
        <x:v>110.6244</x:v>
      </x:c>
      <x:c r="I30" s="28" t="n">
        <x:f>('Scenario Inputs'!$C$14+'Scenario Inputs'!$C$15)/'Scenario Inputs'!$C$12+I29+'Scenario Inputs'!$C$22</x:f>
        <x:v>72.63773333333333</x:v>
      </x:c>
      <x:c r="J30" s="28" t="n">
        <x:f>('Scenario Inputs'!$D$14+'Scenario Inputs'!$D$15)/'Scenario Inputs'!$D$12+J29+'Scenario Inputs'!$D$22</x:f>
        <x:v>52.88751111111111</x:v>
      </x:c>
    </x:row>
    <x:row r="31" ht="23" customHeight="1">
      <x:c r="A31" s="4" t="str">
        <x:v>Bulk freight, field, claims</x:v>
      </x:c>
      <x:c r="B31" s="28" t="n">
        <x:f>'Scenario Inputs'!$B$16+'Scenario Inputs'!$B$20+'Scenario Inputs'!$B$23</x:f>
        <x:v>28</x:v>
      </x:c>
      <x:c r="C31" s="28" t="n">
        <x:f>'Scenario Inputs'!$C$16+'Scenario Inputs'!$C$20+'Scenario Inputs'!$C$23</x:f>
        <x:v>19</x:v>
      </x:c>
      <x:c r="D31" s="28" t="n">
        <x:f>'Scenario Inputs'!$D$16+'Scenario Inputs'!$D$20+'Scenario Inputs'!$D$23</x:f>
        <x:v>14</x:v>
      </x:c>
      <x:c r="E31" s="28" t="n">
        <x:f>'Scenario Inputs'!$B$16+'Scenario Inputs'!$B$20+'Scenario Inputs'!$B$23</x:f>
        <x:v>28</x:v>
      </x:c>
      <x:c r="F31" s="28" t="n">
        <x:f>'Scenario Inputs'!$C$16+'Scenario Inputs'!$C$20+'Scenario Inputs'!$C$23</x:f>
        <x:v>19</x:v>
      </x:c>
      <x:c r="G31" s="28" t="n">
        <x:f>'Scenario Inputs'!$D$16+'Scenario Inputs'!$D$20+'Scenario Inputs'!$D$23</x:f>
        <x:v>14</x:v>
      </x:c>
      <x:c r="H31" s="28" t="n">
        <x:f>'Scenario Inputs'!$B$16+'Scenario Inputs'!$B$20+'Scenario Inputs'!$B$23</x:f>
        <x:v>28</x:v>
      </x:c>
      <x:c r="I31" s="28" t="n">
        <x:f>'Scenario Inputs'!$C$16+'Scenario Inputs'!$C$20+'Scenario Inputs'!$C$23</x:f>
        <x:v>19</x:v>
      </x:c>
      <x:c r="J31" s="28" t="n">
        <x:f>'Scenario Inputs'!$D$16+'Scenario Inputs'!$D$20+'Scenario Inputs'!$D$23</x:f>
        <x:v>14</x:v>
      </x:c>
    </x:row>
    <x:row r="32" ht="23" customHeight="1">
      <x:c r="A32" s="4" t="str">
        <x:v>Trade freight, field, bad debt</x:v>
      </x:c>
      <x:c r="B32" s="28" t="n">
        <x:f>'Scenario Inputs'!$B$17+'Scenario Inputs'!$B$21+'Scenario Inputs'!$B$24</x:f>
        <x:v>30</x:v>
      </x:c>
      <x:c r="C32" s="28" t="n">
        <x:f>'Scenario Inputs'!$C$17+'Scenario Inputs'!$C$21+'Scenario Inputs'!$C$24</x:f>
        <x:v>20</x:v>
      </x:c>
      <x:c r="D32" s="28" t="n">
        <x:f>'Scenario Inputs'!$D$17+'Scenario Inputs'!$D$21+'Scenario Inputs'!$D$24</x:f>
        <x:v>13</x:v>
      </x:c>
      <x:c r="E32" s="28" t="n">
        <x:f>'Scenario Inputs'!$B$17+'Scenario Inputs'!$B$21+'Scenario Inputs'!$B$24</x:f>
        <x:v>30</x:v>
      </x:c>
      <x:c r="F32" s="28" t="n">
        <x:f>'Scenario Inputs'!$C$17+'Scenario Inputs'!$C$21+'Scenario Inputs'!$C$24</x:f>
        <x:v>20</x:v>
      </x:c>
      <x:c r="G32" s="28" t="n">
        <x:f>'Scenario Inputs'!$D$17+'Scenario Inputs'!$D$21+'Scenario Inputs'!$D$24</x:f>
        <x:v>13</x:v>
      </x:c>
      <x:c r="H32" s="28" t="n">
        <x:f>'Scenario Inputs'!$B$17+'Scenario Inputs'!$B$21+'Scenario Inputs'!$B$24</x:f>
        <x:v>30</x:v>
      </x:c>
      <x:c r="I32" s="28" t="n">
        <x:f>'Scenario Inputs'!$C$17+'Scenario Inputs'!$C$21+'Scenario Inputs'!$C$24</x:f>
        <x:v>20</x:v>
      </x:c>
      <x:c r="J32" s="28" t="n">
        <x:f>'Scenario Inputs'!$D$17+'Scenario Inputs'!$D$21+'Scenario Inputs'!$D$24</x:f>
        <x:v>13</x:v>
      </x:c>
    </x:row>
    <x:row r="33" ht="23" customHeight="1">
      <x:c r="A33" s="4" t="str">
        <x:v>Marketplace fees, packing, returns</x:v>
      </x:c>
      <x:c r="B33" s="28" t="n">
        <x:f>'Scenario Inputs'!$B$18+'Scenario Inputs'!$B$15+'Scenario Inputs'!$B$25</x:f>
        <x:v>144</x:v>
      </x:c>
      <x:c r="C33" s="28" t="n">
        <x:f>'Scenario Inputs'!$C$18+'Scenario Inputs'!$C$15+'Scenario Inputs'!$C$25</x:f>
        <x:v>120</x:v>
      </x:c>
      <x:c r="D33" s="28" t="n">
        <x:f>'Scenario Inputs'!$D$18+'Scenario Inputs'!$D$15+'Scenario Inputs'!$D$25</x:f>
        <x:v>102</x:v>
      </x:c>
      <x:c r="E33" s="28" t="n">
        <x:f>'Scenario Inputs'!$B$18+'Scenario Inputs'!$B$15+'Scenario Inputs'!$B$25</x:f>
        <x:v>144</x:v>
      </x:c>
      <x:c r="F33" s="28" t="n">
        <x:f>'Scenario Inputs'!$C$18+'Scenario Inputs'!$C$15+'Scenario Inputs'!$C$25</x:f>
        <x:v>120</x:v>
      </x:c>
      <x:c r="G33" s="28" t="n">
        <x:f>'Scenario Inputs'!$D$18+'Scenario Inputs'!$D$15+'Scenario Inputs'!$D$25</x:f>
        <x:v>102</x:v>
      </x:c>
      <x:c r="H33" s="28" t="n">
        <x:f>'Scenario Inputs'!$B$18+'Scenario Inputs'!$B$15+'Scenario Inputs'!$B$25</x:f>
        <x:v>144</x:v>
      </x:c>
      <x:c r="I33" s="28" t="n">
        <x:f>'Scenario Inputs'!$C$18+'Scenario Inputs'!$C$15+'Scenario Inputs'!$C$25</x:f>
        <x:v>120</x:v>
      </x:c>
      <x:c r="J33" s="28" t="n">
        <x:f>'Scenario Inputs'!$D$18+'Scenario Inputs'!$D$15+'Scenario Inputs'!$D$25</x:f>
        <x:v>102</x:v>
      </x:c>
    </x:row>
    <x:row r="34" ht="23" customHeight="1">
      <x:c r="A34" s="56" t="str">
        <x:v>Weighted fulfillment / channel servicing</x:v>
      </x:c>
      <x:c r="B34" s="57" t="n">
        <x:f>B9*B30+B10*B31+B11*B32+B12*B33</x:f>
        <x:v>70.88732</x:v>
      </x:c>
      <x:c r="C34" s="57" t="n">
        <x:f>C9*C30+C10*C31+C11*C32+C12*C33</x:f>
        <x:v>53.486979999999996</x:v>
      </x:c>
      <x:c r="D34" s="57" t="n">
        <x:f>D9*D30+D10*D31+D11*D32+D12*D33</x:f>
        <x:v>41.58250666666667</x:v>
      </x:c>
      <x:c r="E34" s="57" t="n">
        <x:f>E9*E30+E10*E31+E11*E32+E12*E33</x:f>
        <x:v>70.88732</x:v>
      </x:c>
      <x:c r="F34" s="57" t="n">
        <x:f>F9*F30+F10*F31+F11*F32+F12*F33</x:f>
        <x:v>53.486979999999996</x:v>
      </x:c>
      <x:c r="G34" s="57" t="n">
        <x:f>G9*G30+G10*G31+G11*G32+G12*G33</x:f>
        <x:v>41.58250666666667</x:v>
      </x:c>
      <x:c r="H34" s="57" t="n">
        <x:f>H9*H30+H10*H31+H11*H32+H12*H33</x:f>
        <x:v>70.88732</x:v>
      </x:c>
      <x:c r="I34" s="57" t="n">
        <x:f>I9*I30+I10*I31+I11*I32+I12*I33</x:f>
        <x:v>53.486979999999996</x:v>
      </x:c>
      <x:c r="J34" s="57" t="n">
        <x:f>J9*J30+J10*J31+J11*J32+J12*J33</x:f>
        <x:v>41.58250666666667</x:v>
      </x:c>
    </x:row>
    <x:row r="35" ht="23" customHeight="1">
      <x:c r="A35" s="4"/>
      <x:c r="B35" s="28"/>
      <x:c r="C35" s="28"/>
      <x:c r="D35" s="28"/>
      <x:c r="E35" s="28"/>
      <x:c r="F35" s="28"/>
      <x:c r="G35" s="28"/>
      <x:c r="H35" s="28"/>
      <x:c r="I35" s="28"/>
      <x:c r="J35" s="28"/>
    </x:row>
    <x:row r="36" ht="23" customHeight="1">
      <x:c r="A36" s="4" t="str">
        <x:v>DTC CAC / retained book</x:v>
      </x:c>
      <x:c r="B36" s="36" t="n">
        <x:f>'Scenario Inputs'!$B$13/'Scenario Inputs'!$B$12</x:f>
        <x:v>183.33333333333334</x:v>
      </x:c>
      <x:c r="C36" s="36" t="n">
        <x:f>'Scenario Inputs'!$C$13/'Scenario Inputs'!$C$12</x:f>
        <x:v>80</x:v>
      </x:c>
      <x:c r="D36" s="36" t="n">
        <x:f>'Scenario Inputs'!$D$13/'Scenario Inputs'!$D$12</x:f>
        <x:v>38.888888888888886</x:v>
      </x:c>
      <x:c r="E36" s="36" t="n">
        <x:f>'Scenario Inputs'!$B$13/'Scenario Inputs'!$B$12</x:f>
        <x:v>183.33333333333334</x:v>
      </x:c>
      <x:c r="F36" s="36" t="n">
        <x:f>'Scenario Inputs'!$C$13/'Scenario Inputs'!$C$12</x:f>
        <x:v>80</x:v>
      </x:c>
      <x:c r="G36" s="36" t="n">
        <x:f>'Scenario Inputs'!$D$13/'Scenario Inputs'!$D$12</x:f>
        <x:v>38.888888888888886</x:v>
      </x:c>
      <x:c r="H36" s="36" t="n">
        <x:f>'Scenario Inputs'!$B$13/'Scenario Inputs'!$B$12</x:f>
        <x:v>183.33333333333334</x:v>
      </x:c>
      <x:c r="I36" s="36" t="n">
        <x:f>'Scenario Inputs'!$C$13/'Scenario Inputs'!$C$12</x:f>
        <x:v>80</x:v>
      </x:c>
      <x:c r="J36" s="36" t="n">
        <x:f>'Scenario Inputs'!$D$13/'Scenario Inputs'!$D$12</x:f>
        <x:v>38.888888888888886</x:v>
      </x:c>
    </x:row>
    <x:row r="37" ht="23" customHeight="1">
      <x:c r="A37" s="4" t="str">
        <x:v>Weighted DTC acquisition</x:v>
      </x:c>
      <x:c r="B37" s="28" t="n">
        <x:f>B9*B36</x:f>
        <x:v>55</x:v>
      </x:c>
      <x:c r="C37" s="28" t="n">
        <x:f>C9*C36</x:f>
        <x:v>36</x:v>
      </x:c>
      <x:c r="D37" s="28" t="n">
        <x:f>D9*D36</x:f>
        <x:v>23.333333333333332</x:v>
      </x:c>
      <x:c r="E37" s="28" t="n">
        <x:f>E9*E36</x:f>
        <x:v>55</x:v>
      </x:c>
      <x:c r="F37" s="28" t="n">
        <x:f>F9*F36</x:f>
        <x:v>36</x:v>
      </x:c>
      <x:c r="G37" s="28" t="n">
        <x:f>G9*G36</x:f>
        <x:v>23.333333333333332</x:v>
      </x:c>
      <x:c r="H37" s="28" t="n">
        <x:f>H9*H36</x:f>
        <x:v>55</x:v>
      </x:c>
      <x:c r="I37" s="28" t="n">
        <x:f>I9*I36</x:f>
        <x:v>36</x:v>
      </x:c>
      <x:c r="J37" s="28" t="n">
        <x:f>J9*J36</x:f>
        <x:v>23.333333333333332</x:v>
      </x:c>
    </x:row>
    <x:row r="38" ht="23" customHeight="1">
      <x:c r="A38" s="4" t="str">
        <x:v>Weighted marketplace advertising</x:v>
      </x:c>
      <x:c r="B38" s="36" t="n">
        <x:f>B12*'Scenario Inputs'!$B$19</x:f>
        <x:v>6.75</x:v>
      </x:c>
      <x:c r="C38" s="36" t="n">
        <x:f>C12*'Scenario Inputs'!$C$19</x:f>
        <x:v>2.5</x:v>
      </x:c>
      <x:c r="D38" s="36" t="n">
        <x:f>D12*'Scenario Inputs'!$D$19</x:f>
        <x:v>0.75</x:v>
      </x:c>
      <x:c r="E38" s="36" t="n">
        <x:f>E12*'Scenario Inputs'!$B$19</x:f>
        <x:v>6.75</x:v>
      </x:c>
      <x:c r="F38" s="36" t="n">
        <x:f>F12*'Scenario Inputs'!$C$19</x:f>
        <x:v>2.5</x:v>
      </x:c>
      <x:c r="G38" s="36" t="n">
        <x:f>G12*'Scenario Inputs'!$D$19</x:f>
        <x:v>0.75</x:v>
      </x:c>
      <x:c r="H38" s="36" t="n">
        <x:f>H12*'Scenario Inputs'!$B$19</x:f>
        <x:v>6.75</x:v>
      </x:c>
      <x:c r="I38" s="36" t="n">
        <x:f>I12*'Scenario Inputs'!$C$19</x:f>
        <x:v>2.5</x:v>
      </x:c>
      <x:c r="J38" s="36" t="n">
        <x:f>J12*'Scenario Inputs'!$D$19</x:f>
        <x:v>0.75</x:v>
      </x:c>
    </x:row>
    <x:row r="39" ht="23" customHeight="1">
      <x:c r="A39" s="56" t="str">
        <x:v>Total incremental acquisition</x:v>
      </x:c>
      <x:c r="B39" s="57" t="n">
        <x:f>SUM(B37:B38)</x:f>
        <x:v>61.75</x:v>
      </x:c>
      <x:c r="C39" s="57" t="n">
        <x:f>SUM(C37:C38)</x:f>
        <x:v>38.5</x:v>
      </x:c>
      <x:c r="D39" s="57" t="n">
        <x:f>SUM(D37:D38)</x:f>
        <x:v>24.083333333333332</x:v>
      </x:c>
      <x:c r="E39" s="57" t="n">
        <x:f>SUM(E37:E38)</x:f>
        <x:v>61.75</x:v>
      </x:c>
      <x:c r="F39" s="57" t="n">
        <x:f>SUM(F37:F38)</x:f>
        <x:v>38.5</x:v>
      </x:c>
      <x:c r="G39" s="57" t="n">
        <x:f>SUM(G37:G38)</x:f>
        <x:v>24.083333333333332</x:v>
      </x:c>
      <x:c r="H39" s="57" t="n">
        <x:f>SUM(H37:H38)</x:f>
        <x:v>61.75</x:v>
      </x:c>
      <x:c r="I39" s="57" t="n">
        <x:f>SUM(I37:I38)</x:f>
        <x:v>38.5</x:v>
      </x:c>
      <x:c r="J39" s="57" t="n">
        <x:f>SUM(J37:J38)</x:f>
        <x:v>24.083333333333332</x:v>
      </x:c>
    </x:row>
    <x:row r="40" ht="23" customHeight="1">
      <x:c r="A40" s="4"/>
      <x:c r="B40" s="28"/>
      <x:c r="C40" s="28"/>
      <x:c r="D40" s="28"/>
      <x:c r="E40" s="28"/>
      <x:c r="F40" s="28"/>
      <x:c r="G40" s="28"/>
      <x:c r="H40" s="28"/>
      <x:c r="I40" s="28"/>
      <x:c r="J40" s="28"/>
    </x:row>
    <x:row r="41" ht="23" customHeight="1">
      <x:c r="A41" s="4" t="str">
        <x:v>Total non-print variable cost</x:v>
      </x:c>
      <x:c r="B41" s="28" t="n">
        <x:f>B26+B27+B34+B39</x:f>
        <x:v>165.87732</x:v>
      </x:c>
      <x:c r="C41" s="28" t="n">
        <x:f>C26+C27+C34+C39</x:f>
        <x:v>129.72298</x:v>
      </x:c>
      <x:c r="D41" s="28" t="n">
        <x:f>D26+D27+D34+D39</x:f>
        <x:v>105.64984</x:v>
      </x:c>
      <x:c r="E41" s="28" t="n">
        <x:f>E26+E27+E34+E39</x:f>
        <x:v>165.87732</x:v>
      </x:c>
      <x:c r="F41" s="28" t="n">
        <x:f>F26+F27+F34+F39</x:f>
        <x:v>129.72298</x:v>
      </x:c>
      <x:c r="G41" s="28" t="n">
        <x:f>G26+G27+G34+G39</x:f>
        <x:v>105.64984</x:v>
      </x:c>
      <x:c r="H41" s="28" t="n">
        <x:f>H26+H27+H34+H39</x:f>
        <x:v>165.87732</x:v>
      </x:c>
      <x:c r="I41" s="28" t="n">
        <x:f>I26+I27+I34+I39</x:f>
        <x:v>129.72298</x:v>
      </x:c>
      <x:c r="J41" s="28" t="n">
        <x:f>J26+J27+J34+J39</x:f>
        <x:v>105.64984</x:v>
      </x:c>
    </x:row>
    <x:row r="42" ht="23" customHeight="1">
      <x:c r="A42" s="56" t="str">
        <x:v>Contribution before acquisition</x:v>
      </x:c>
      <x:c r="B42" s="57" t="n">
        <x:f>B20-B24-B26-B27-B34</x:f>
        <x:v>-36.74621830508474</x:v>
      </x:c>
      <x:c r="C42" s="57" t="n">
        <x:f>C20-C24-C26-C27-C34</x:f>
        <x:v>95.39091830508474</x:v>
      </x:c>
      <x:c r="D42" s="57" t="n">
        <x:f>D20-D24-D26-D27-D34</x:f>
        <x:v>174.63679841807914</x:v>
      </x:c>
      <x:c r="E42" s="57" t="n">
        <x:f>E20-E24-E26-E27-E34</x:f>
        <x:v>50.038781694915244</x:v>
      </x:c>
      <x:c r="F42" s="57" t="n">
        <x:f>F20-F24-F26-F27-F34</x:f>
        <x:v>156.63491830508477</x:v>
      </x:c>
      <x:c r="G42" s="57" t="n">
        <x:f>G20-G24-G26-G27-G34</x:f>
        <x:v>223.22879841807915</x:v>
      </x:c>
      <x:c r="H42" s="57" t="n">
        <x:f>H20-H24-H26-H27-H34</x:f>
        <x:v>90.04648169491524</x:v>
      </x:c>
      <x:c r="I42" s="57" t="n">
        <x:f>I20-I24-I26-I27-I34</x:f>
        <x:v>186.64355830508478</x:v>
      </x:c>
      <x:c r="J42" s="57" t="n">
        <x:f>J20-J24-J26-J27-J34</x:f>
        <x:v>246.94569841807916</x:v>
      </x:c>
    </x:row>
    <x:row r="43" ht="23" customHeight="1">
      <x:c r="A43" s="56" t="str">
        <x:v>Contribution after acquisition</x:v>
      </x:c>
      <x:c r="B43" s="57" t="n">
        <x:f>B42-B39</x:f>
        <x:v>-98.49621830508474</x:v>
      </x:c>
      <x:c r="C43" s="57" t="n">
        <x:f>C42-C39</x:f>
        <x:v>56.89091830508474</x:v>
      </x:c>
      <x:c r="D43" s="57" t="n">
        <x:f>D42-D39</x:f>
        <x:v>150.5534650847458</x:v>
      </x:c>
      <x:c r="E43" s="57" t="n">
        <x:f>E42-E39</x:f>
        <x:v>-11.711218305084756</x:v>
      </x:c>
      <x:c r="F43" s="57" t="n">
        <x:f>F42-F39</x:f>
        <x:v>118.13491830508477</x:v>
      </x:c>
      <x:c r="G43" s="57" t="n">
        <x:f>G42-G39</x:f>
        <x:v>199.1454650847458</x:v>
      </x:c>
      <x:c r="H43" s="57" t="n">
        <x:f>H42-H39</x:f>
        <x:v>28.296481694915244</x:v>
      </x:c>
      <x:c r="I43" s="57" t="n">
        <x:f>I42-I39</x:f>
        <x:v>148.14355830508478</x:v>
      </x:c>
      <x:c r="J43" s="57" t="n">
        <x:f>J42-J39</x:f>
        <x:v>222.86236508474582</x:v>
      </x:c>
    </x:row>
    <x:row r="44" ht="23" customHeight="1">
      <x:c r="A44" s="4" t="str">
        <x:v>Contribution margin</x:v>
      </x:c>
      <x:c r="B44" s="50" t="n">
        <x:f>B43/B20</x:f>
        <x:v>-0.30699376664883743</x:v>
      </x:c>
      <x:c r="C44" s="50" t="n">
        <x:f>C43/C20</x:f>
        <x:v>0.15606482296873184</x:v>
      </x:c>
      <x:c r="D44" s="50" t="n">
        <x:f>D43/D20</x:f>
        <x:v>0.3806437273082754</x:v>
      </x:c>
      <x:c r="E44" s="50" t="n">
        <x:f>E43/E20</x:f>
        <x:v>-0.03650161479691228</x:v>
      </x:c>
      <x:c r="F44" s="50" t="n">
        <x:f>F43/F20</x:f>
        <x:v>0.32407114634429857</x:v>
      </x:c>
      <x:c r="G44" s="50" t="n">
        <x:f>G43/G20</x:f>
        <x:v>0.5034986877500844</x:v>
      </x:c>
      <x:c r="H44" s="50" t="n">
        <x:f>H43/H20</x:f>
        <x:v>0.08819469059741011</x:v>
      </x:c>
      <x:c r="I44" s="50" t="n">
        <x:f>I43/I20</x:f>
        <x:v>0.4063917210275486</x:v>
      </x:c>
      <x:c r="J44" s="50" t="n">
        <x:f>J43/J20</x:f>
        <x:v>0.5634620317429709</x:v>
      </x:c>
    </x:row>
    <x:row r="45" ht="23" customHeight="1">
      <x:c r="A45" s="56" t="str">
        <x:v>Static tier break-even copies</x:v>
      </x:c>
      <x:c r="B45" s="62" t="str">
        <x:f>IF(B43&gt;0,ROUNDUP(B7/B43,0),"No unit break-even")</x:f>
        <x:v>No unit break-even</x:v>
      </x:c>
      <x:c r="C45" s="62" t="n">
        <x:f>IF(C43&gt;0,ROUNDUP(C7/C43,0),"No unit break-even")</x:f>
        <x:v>11426</x:v>
      </x:c>
      <x:c r="D45" s="62" t="n">
        <x:f>IF(D43&gt;0,ROUNDUP(D7/D43,0),"No unit break-even")</x:f>
        <x:v>3986</x:v>
      </x:c>
      <x:c r="E45" s="62" t="str">
        <x:f>IF(E43&gt;0,ROUNDUP(E7/E43,0),"No unit break-even")</x:f>
        <x:v>No unit break-even</x:v>
      </x:c>
      <x:c r="F45" s="62" t="n">
        <x:f>IF(F43&gt;0,ROUNDUP(F7/F43,0),"No unit break-even")</x:f>
        <x:v>10158</x:v>
      </x:c>
      <x:c r="G45" s="62" t="n">
        <x:f>IF(G43&gt;0,ROUNDUP(G7/G43,0),"No unit break-even")</x:f>
        <x:v>5022</x:v>
      </x:c>
      <x:c r="H45" s="62" t="n">
        <x:f>IF(H43&gt;0,ROUNDUP(H7/H43,0),"No unit break-even")</x:f>
        <x:v>176701</x:v>
      </x:c>
      <x:c r="I45" s="62" t="n">
        <x:f>IF(I43&gt;0,ROUNDUP(I7/I43,0),"No unit break-even")</x:f>
        <x:v>27001</x:v>
      </x:c>
      <x:c r="J45" s="62" t="n">
        <x:f>IF(J43&gt;0,ROUNDUP(J7/J43,0),"No unit break-even")</x:f>
        <x:v>15705</x:v>
      </x:c>
    </x:row>
    <x:row r="46" ht="23" customHeight="1">
      <x:c r="A46" s="4"/>
      <x:c r="B46" s="36"/>
      <x:c r="C46" s="36"/>
      <x:c r="D46" s="36"/>
      <x:c r="E46" s="36"/>
      <x:c r="F46" s="36"/>
      <x:c r="G46" s="36"/>
      <x:c r="H46" s="36"/>
      <x:c r="I46" s="36"/>
      <x:c r="J46" s="36"/>
    </x:row>
    <x:row r="47" ht="23" customHeight="1">
      <x:c r="A47" s="4" t="str">
        <x:v>DTC contribution after CAC</x:v>
      </x:c>
      <x:c r="B47" s="36" t="n">
        <x:f>B15/(1+'Global Inputs'!$B$5)-B24-B26-B27-B30-B36</x:f>
        <x:v>-217.09841129943504</x:v>
      </x:c>
      <x:c r="C47" s="36" t="n">
        <x:f>C15/(1+'Global Inputs'!$B$5)-C24-C26-C27-C30-C36</x:f>
        <x:v>37.6384700564972</x:v>
      </x:c>
      <x:c r="D47" s="36" t="n">
        <x:f>D15/(1+'Global Inputs'!$B$5)-D24-D26-D27-D30-D36</x:f>
        <x:v>151.8009559322034</x:v>
      </x:c>
      <x:c r="E47" s="36" t="n">
        <x:f>E15/(1+'Global Inputs'!$B$5)-E24-E26-E27-E30-E36</x:f>
        <x:v>-130.31341129943507</x:v>
      </x:c>
      <x:c r="F47" s="36" t="n">
        <x:f>F15/(1+'Global Inputs'!$B$5)-F24-F26-F27-F30-F36</x:f>
        <x:v>98.88247005649723</x:v>
      </x:c>
      <x:c r="G47" s="36" t="n">
        <x:f>G15/(1+'Global Inputs'!$B$5)-G24-G26-G27-G30-G36</x:f>
        <x:v>200.39295593220342</x:v>
      </x:c>
      <x:c r="H47" s="36" t="n">
        <x:f>H15/(1+'Global Inputs'!$B$5)-H24-H26-H27-H30-H36</x:f>
        <x:v>-90.30571129943506</x:v>
      </x:c>
      <x:c r="I47" s="36" t="n">
        <x:f>I15/(1+'Global Inputs'!$B$5)-I24-I26-I27-I30-I36</x:f>
        <x:v>128.89111005649718</x:v>
      </x:c>
      <x:c r="J47" s="36" t="n">
        <x:f>J15/(1+'Global Inputs'!$B$5)-J24-J26-J27-J30-J36</x:f>
        <x:v>224.10985593220343</x:v>
      </x:c>
    </x:row>
    <x:row r="48" ht="23" customHeight="1">
      <x:c r="A48" s="4" t="str">
        <x:v>Bulk contribution</x:v>
      </x:c>
      <x:c r="B48" s="36" t="n">
        <x:f>B16/(1+'Global Inputs'!$B$5)-B24-B26-B27-B31</x:f>
        <x:v>10.97796610169489</x:v>
      </x:c>
      <x:c r="C48" s="36" t="n">
        <x:f>C16/(1+'Global Inputs'!$B$5)-C24-C26-C27-C31</x:f>
        <x:v>114.2846779661017</x:v>
      </x:c>
      <x:c r="D48" s="36" t="n">
        <x:f>D16/(1+'Global Inputs'!$B$5)-D24-D26-D27-D31</x:f>
        <x:v>178.8993898305085</x:v>
      </x:c>
      <x:c r="E48" s="36" t="n">
        <x:f>E16/(1+'Global Inputs'!$B$5)-E24-E26-E27-E31</x:f>
        <x:v>97.76296610169487</x:v>
      </x:c>
      <x:c r="F48" s="36" t="n">
        <x:f>F16/(1+'Global Inputs'!$B$5)-F24-F26-F27-F31</x:f>
        <x:v>175.52867796610172</x:v>
      </x:c>
      <x:c r="G48" s="36" t="n">
        <x:f>G16/(1+'Global Inputs'!$B$5)-G24-G26-G27-G31</x:f>
        <x:v>227.4913898305085</x:v>
      </x:c>
      <x:c r="H48" s="36" t="n">
        <x:f>H16/(1+'Global Inputs'!$B$5)-H24-H26-H27-H31</x:f>
        <x:v>137.77066610169487</x:v>
      </x:c>
      <x:c r="I48" s="36" t="n">
        <x:f>I16/(1+'Global Inputs'!$B$5)-I24-I26-I27-I31</x:f>
        <x:v>205.53731796610168</x:v>
      </x:c>
      <x:c r="J48" s="36" t="n">
        <x:f>J16/(1+'Global Inputs'!$B$5)-J24-J26-J27-J31</x:f>
        <x:v>251.20828983050853</x:v>
      </x:c>
    </x:row>
    <x:row r="49" ht="23" customHeight="1">
      <x:c r="A49" s="4" t="str">
        <x:v>Trade contribution</x:v>
      </x:c>
      <x:c r="B49" s="36" t="n">
        <x:f>B17/(1+'Global Inputs'!$B$5)-B24-B26-B27-B32</x:f>
        <x:v>-60.81016949152537</x:v>
      </x:c>
      <x:c r="C49" s="36" t="n">
        <x:f>C17/(1+'Global Inputs'!$B$5)-C24-C26-C27-C32</x:f>
        <x:v>43.49654237288131</x:v>
      </x:c>
      <x:c r="D49" s="36" t="n">
        <x:f>D17/(1+'Global Inputs'!$B$5)-D24-D26-D27-D32</x:f>
        <x:v>110.1112542372882</x:v>
      </x:c>
      <x:c r="E49" s="36" t="n">
        <x:f>E17/(1+'Global Inputs'!$B$5)-E24-E26-E27-E32</x:f>
        <x:v>25.974830508474625</x:v>
      </x:c>
      <x:c r="F49" s="36" t="n">
        <x:f>F17/(1+'Global Inputs'!$B$5)-F24-F26-F27-F32</x:f>
        <x:v>104.74054237288135</x:v>
      </x:c>
      <x:c r="G49" s="36" t="n">
        <x:f>G17/(1+'Global Inputs'!$B$5)-G24-G26-G27-G32</x:f>
        <x:v>158.70325423728818</x:v>
      </x:c>
      <x:c r="H49" s="36" t="n">
        <x:f>H17/(1+'Global Inputs'!$B$5)-H24-H26-H27-H32</x:f>
        <x:v>65.98253050847462</x:v>
      </x:c>
      <x:c r="I49" s="36" t="n">
        <x:f>I17/(1+'Global Inputs'!$B$5)-I24-I26-I27-I32</x:f>
        <x:v>134.74918237288134</x:v>
      </x:c>
      <x:c r="J49" s="36" t="n">
        <x:f>J17/(1+'Global Inputs'!$B$5)-J24-J26-J27-J32</x:f>
        <x:v>182.4201542372882</x:v>
      </x:c>
    </x:row>
    <x:row r="50" ht="23" customHeight="1">
      <x:c r="A50" s="4" t="str">
        <x:v>Marketplace contribution</x:v>
      </x:c>
      <x:c r="B50" s="36" t="n">
        <x:f>B18/(1+'Global Inputs'!$B$5)-B24-B26-B27-B33-'Scenario Inputs'!$B$19</x:f>
        <x:v>-95.19152542372878</x:v>
      </x:c>
      <x:c r="C50" s="36" t="n">
        <x:f>C18/(1+'Global Inputs'!$B$5)-C24-C26-C27-C33-'Scenario Inputs'!$C$19</x:f>
        <x:v>62.2253559322034</x:v>
      </x:c>
      <x:c r="D50" s="36" t="n">
        <x:f>D18/(1+'Global Inputs'!$B$5)-D24-D26-D27-D33-'Scenario Inputs'!$D$19</x:f>
        <x:v>143.5265084745763</x:v>
      </x:c>
      <x:c r="E50" s="36" t="n">
        <x:f>E18/(1+'Global Inputs'!$B$5)-E24-E26-E27-E33-'Scenario Inputs'!$B$19</x:f>
        <x:v>-8.406525423728795</x:v>
      </x:c>
      <x:c r="F50" s="36" t="n">
        <x:f>F18/(1+'Global Inputs'!$B$5)-F24-F26-F27-F33-'Scenario Inputs'!$C$19</x:f>
        <x:v>123.46935593220343</x:v>
      </x:c>
      <x:c r="G50" s="36" t="n">
        <x:f>G18/(1+'Global Inputs'!$B$5)-G24-G26-G27-G33-'Scenario Inputs'!$D$19</x:f>
        <x:v>192.1185084745763</x:v>
      </x:c>
      <x:c r="H50" s="36" t="n">
        <x:f>H18/(1+'Global Inputs'!$B$5)-H24-H26-H27-H33-'Scenario Inputs'!$B$19</x:f>
        <x:v>31.601174576271205</x:v>
      </x:c>
      <x:c r="I50" s="36" t="n">
        <x:f>I18/(1+'Global Inputs'!$B$5)-I24-I26-I27-I33-'Scenario Inputs'!$C$19</x:f>
        <x:v>153.47799593220338</x:v>
      </x:c>
      <x:c r="J50" s="36" t="n">
        <x:f>J18/(1+'Global Inputs'!$B$5)-J24-J26-J27-J33-'Scenario Inputs'!$D$19</x:f>
        <x:v>215.8354084745763</x:v>
      </x:c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8" customHeight="1">
      <x:c r="A1" s="8" t="str">
        <x:v>SEASON P&amp;L | ALL MONEY COLUMNS IN INR; NO DIGITAL-ONLY SALES ASSUMED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44" customHeight="1">
      <x:c r="A3" s="14" t="str">
        <x:v>Case</x:v>
      </x:c>
      <x:c r="B3" s="14" t="str">
        <x:v>Retained books</x:v>
      </x:c>
      <x:c r="C3" s="14" t="str">
        <x:v>Publisher gross realization</x:v>
      </x:c>
      <x:c r="D3" s="14" t="str">
        <x:v>Output GST reserve</x:v>
      </x:c>
      <x:c r="E3" s="14" t="str">
        <x:v>Net publisher revenue</x:v>
      </x:c>
      <x:c r="F3" s="14" t="str">
        <x:v>Print cash / edition expense</x:v>
      </x:c>
      <x:c r="G3" s="14" t="str">
        <x:v>Other variable cost</x:v>
      </x:c>
      <x:c r="H3" s="14" t="str">
        <x:v>Contribution</x:v>
      </x:c>
      <x:c r="I3" s="14" t="str">
        <x:v>Fixed spend</x:v>
      </x:c>
      <x:c r="J3" s="14" t="str">
        <x:v>Operating profit</x:v>
      </x:c>
      <x:c r="K3" s="14" t="str">
        <x:v>Operating margin</x:v>
      </x:c>
      <x:c r="L3" s="14" t="str">
        <x:v>Units printed</x:v>
      </x:c>
      <x:c r="M3" s="14" t="str">
        <x:v>Profit if output GST 0%</x:v>
      </x:c>
    </x:row>
    <x:row r="4" ht="44" customHeight="1">
      <x:c r="A4" s="70" t="str">
        <x:f>'Unit Economics'!B3</x:f>
        <x:v>Conservative | 500</x:v>
      </x:c>
      <x:c r="B4" s="44" t="n">
        <x:f>'Unit Economics'!B4</x:f>
        <x:v>500</x:v>
      </x:c>
      <x:c r="C4" s="36" t="n">
        <x:f>'Unit Economics'!B19*B4</x:f>
        <x:v>189296.25</x:v>
      </x:c>
      <x:c r="D4" s="36" t="n">
        <x:f>C4-E4</x:f>
        <x:v>28875.699152542365</x:v>
      </x:c>
      <x:c r="E4" s="36" t="n">
        <x:f>'Unit Economics'!B20*B4</x:f>
        <x:v>160420.55084745763</x:v>
      </x:c>
      <x:c r="F4" s="36" t="n">
        <x:f>'Unit Economics'!B5*'Unit Economics'!B6</x:f>
        <x:v>126730</x:v>
      </x:c>
      <x:c r="G4" s="36" t="n">
        <x:f>'Unit Economics'!B41*B4</x:f>
        <x:v>82938.66</x:v>
      </x:c>
      <x:c r="H4" s="36" t="n">
        <x:f>E4-F4-G4</x:f>
        <x:v>-49248.10915254237</x:v>
      </x:c>
      <x:c r="I4" s="36" t="n">
        <x:f>'Unit Economics'!B7</x:f>
        <x:v>750000</x:v>
      </x:c>
      <x:c r="J4" s="36" t="n">
        <x:f>H4-I4</x:f>
        <x:v>-799248.1091525424</x:v>
      </x:c>
      <x:c r="K4" s="48" t="n">
        <x:f>J4/E4</x:f>
        <x:v>-4.9822052407271675</x:v>
      </x:c>
      <x:c r="L4" s="44" t="n">
        <x:f>'Unit Economics'!B5</x:f>
        <x:v>667</x:v>
      </x:c>
      <x:c r="M4" s="36" t="n">
        <x:f>J4+D4</x:f>
        <x:v>-770372.41</x:v>
      </x:c>
    </x:row>
    <x:row r="5" ht="44" customHeight="1">
      <x:c r="A5" s="70" t="str">
        <x:f>'Unit Economics'!C3</x:f>
        <x:v>Base | 500</x:v>
      </x:c>
      <x:c r="B5" s="44" t="n">
        <x:f>'Unit Economics'!C4</x:f>
        <x:v>500</x:v>
      </x:c>
      <x:c r="C5" s="36" t="n">
        <x:f>'Unit Economics'!C19*B5</x:f>
        <x:v>215075</x:v>
      </x:c>
      <x:c r="D5" s="36" t="n">
        <x:f>C5-E5</x:f>
        <x:v>32808.050847457635</x:v>
      </x:c>
      <x:c r="E5" s="36" t="n">
        <x:f>'Unit Economics'!C20*B5</x:f>
        <x:v>182266.94915254237</x:v>
      </x:c>
      <x:c r="F5" s="36" t="n">
        <x:f>'Unit Economics'!C5*'Unit Economics'!C6</x:f>
        <x:v>88960</x:v>
      </x:c>
      <x:c r="G5" s="36" t="n">
        <x:f>'Unit Economics'!C41*B5</x:f>
        <x:v>64861.490000000005</x:v>
      </x:c>
      <x:c r="H5" s="36" t="n">
        <x:f>E5-F5-G5</x:f>
        <x:v>28445.45915254236</x:v>
      </x:c>
      <x:c r="I5" s="36" t="n">
        <x:f>'Unit Economics'!C7</x:f>
        <x:v>650000</x:v>
      </x:c>
      <x:c r="J5" s="36" t="n">
        <x:f>H5-I5</x:f>
        <x:v>-621554.5408474576</x:v>
      </x:c>
      <x:c r="K5" s="48" t="n">
        <x:f>J5/E5</x:f>
        <x:v>-3.410133014994769</x:v>
      </x:c>
      <x:c r="L5" s="44" t="n">
        <x:f>'Unit Economics'!C5</x:f>
        <x:v>556</x:v>
      </x:c>
      <x:c r="M5" s="36" t="n">
        <x:f>J5+D5</x:f>
        <x:v>-588746.49</x:v>
      </x:c>
    </x:row>
    <x:row r="6" ht="44" customHeight="1">
      <x:c r="A6" s="70" t="str">
        <x:f>'Unit Economics'!D3</x:f>
        <x:v>Optimistic | 500</x:v>
      </x:c>
      <x:c r="B6" s="44" t="n">
        <x:f>'Unit Economics'!D4</x:f>
        <x:v>500</x:v>
      </x:c>
      <x:c r="C6" s="36" t="n">
        <x:f>'Unit Economics'!D19*B6</x:f>
        <x:v>233358.75000000003</x:v>
      </x:c>
      <x:c r="D6" s="36" t="n">
        <x:f>C6-E6</x:f>
        <x:v>35597.097457627126</x:v>
      </x:c>
      <x:c r="E6" s="36" t="n">
        <x:f>'Unit Economics'!D20*B6</x:f>
        <x:v>197761.6525423729</x:v>
      </x:c>
      <x:c r="F6" s="36" t="n">
        <x:f>'Unit Economics'!D5*'Unit Economics'!D6</x:f>
        <x:v>69660</x:v>
      </x:c>
      <x:c r="G6" s="36" t="n">
        <x:f>'Unit Economics'!D41*B6</x:f>
        <x:v>52824.92</x:v>
      </x:c>
      <x:c r="H6" s="36" t="n">
        <x:f>E6-F6-G6</x:f>
        <x:v>75276.7325423729</x:v>
      </x:c>
      <x:c r="I6" s="36" t="n">
        <x:f>'Unit Economics'!D7</x:f>
        <x:v>600000</x:v>
      </x:c>
      <x:c r="J6" s="36" t="n">
        <x:f>H6-I6</x:f>
        <x:v>-524723.2674576271</x:v>
      </x:c>
      <x:c r="K6" s="48" t="n">
        <x:f>J6/E6</x:f>
        <x:v>-2.65331150256847</x:v>
      </x:c>
      <x:c r="L6" s="44" t="n">
        <x:f>'Unit Economics'!D5</x:f>
        <x:v>516</x:v>
      </x:c>
      <x:c r="M6" s="36" t="n">
        <x:f>J6+D6</x:f>
        <x:v>-489126.17</x:v>
      </x:c>
    </x:row>
    <x:row r="7" ht="44" customHeight="1">
      <x:c r="A7" s="70" t="str">
        <x:f>'Unit Economics'!E3</x:f>
        <x:v>Conservative | 5,000</x:v>
      </x:c>
      <x:c r="B7" s="44" t="n">
        <x:f>'Unit Economics'!E4</x:f>
        <x:v>5000</x:v>
      </x:c>
      <x:c r="C7" s="36" t="n">
        <x:f>'Unit Economics'!E19*B7</x:f>
        <x:v>1892962.4999999998</x:v>
      </x:c>
      <x:c r="D7" s="36" t="n">
        <x:f>C7-E7</x:f>
        <x:v>288756.9915254235</x:v>
      </x:c>
      <x:c r="E7" s="36" t="n">
        <x:f>'Unit Economics'!E20*B7</x:f>
        <x:v>1604205.5084745763</x:v>
      </x:c>
      <x:c r="F7" s="36" t="n">
        <x:f>'Unit Economics'!E5*'Unit Economics'!E6</x:f>
        <x:v>833375</x:v>
      </x:c>
      <x:c r="G7" s="36" t="n">
        <x:f>'Unit Economics'!E41*B7</x:f>
        <x:v>829386.6</x:v>
      </x:c>
      <x:c r="H7" s="36" t="n">
        <x:f>E7-F7-G7</x:f>
        <x:v>-58556.09152542369</x:v>
      </x:c>
      <x:c r="I7" s="36" t="n">
        <x:f>'Unit Economics'!E7</x:f>
        <x:v>1500000</x:v>
      </x:c>
      <x:c r="J7" s="36" t="n">
        <x:f>H7-I7</x:f>
        <x:v>-1558556.0915254238</x:v>
      </x:c>
      <x:c r="K7" s="48" t="n">
        <x:f>J7/E7</x:f>
        <x:v>-0.9715439096125782</x:v>
      </x:c>
      <x:c r="L7" s="44" t="n">
        <x:f>'Unit Economics'!E5</x:f>
        <x:v>6667</x:v>
      </x:c>
      <x:c r="M7" s="36" t="n">
        <x:f>J7+D7</x:f>
        <x:v>-1269799.1000000003</x:v>
      </x:c>
    </x:row>
    <x:row r="8" ht="44" customHeight="1">
      <x:c r="A8" s="70" t="str">
        <x:f>'Unit Economics'!F3</x:f>
        <x:v>Base | 5,000</x:v>
      </x:c>
      <x:c r="B8" s="44" t="n">
        <x:f>'Unit Economics'!F4</x:f>
        <x:v>5000</x:v>
      </x:c>
      <x:c r="C8" s="36" t="n">
        <x:f>'Unit Economics'!F19*B8</x:f>
        <x:v>2150750</x:v>
      </x:c>
      <x:c r="D8" s="36" t="n">
        <x:f>C8-E8</x:f>
        <x:v>328080.5084745763</x:v>
      </x:c>
      <x:c r="E8" s="36" t="n">
        <x:f>'Unit Economics'!F20*B8</x:f>
        <x:v>1822669.4915254237</x:v>
      </x:c>
      <x:c r="F8" s="36" t="n">
        <x:f>'Unit Economics'!F5*'Unit Economics'!F6</x:f>
        <x:v>583380</x:v>
      </x:c>
      <x:c r="G8" s="36" t="n">
        <x:f>'Unit Economics'!F41*B8</x:f>
        <x:v>648614.9</x:v>
      </x:c>
      <x:c r="H8" s="36" t="n">
        <x:f>E8-F8-G8</x:f>
        <x:v>590674.5915254237</x:v>
      </x:c>
      <x:c r="I8" s="36" t="n">
        <x:f>'Unit Economics'!F7</x:f>
        <x:v>1200000</x:v>
      </x:c>
      <x:c r="J8" s="36" t="n">
        <x:f>H8-I8</x:f>
        <x:v>-609325.4084745763</x:v>
      </x:c>
      <x:c r="K8" s="48" t="n">
        <x:f>J8/E8</x:f>
        <x:v>-0.33430383912588635</x:v>
      </x:c>
      <x:c r="L8" s="44" t="n">
        <x:f>'Unit Economics'!F5</x:f>
        <x:v>5556</x:v>
      </x:c>
      <x:c r="M8" s="36" t="n">
        <x:f>J8+D8</x:f>
        <x:v>-281244.9</x:v>
      </x:c>
    </x:row>
    <x:row r="9" ht="44" customHeight="1">
      <x:c r="A9" s="70" t="str">
        <x:f>'Unit Economics'!G3</x:f>
        <x:v>Optimistic | 5,000</x:v>
      </x:c>
      <x:c r="B9" s="44" t="n">
        <x:f>'Unit Economics'!G4</x:f>
        <x:v>5000</x:v>
      </x:c>
      <x:c r="C9" s="36" t="n">
        <x:f>'Unit Economics'!G19*B9</x:f>
        <x:v>2333587.5</x:v>
      </x:c>
      <x:c r="D9" s="36" t="n">
        <x:f>C9-E9</x:f>
        <x:v>355970.9745762709</x:v>
      </x:c>
      <x:c r="E9" s="36" t="n">
        <x:f>'Unit Economics'!G20*B9</x:f>
        <x:v>1977616.525423729</x:v>
      </x:c>
      <x:c r="F9" s="36" t="n">
        <x:f>'Unit Economics'!G5*'Unit Economics'!G6</x:f>
        <x:v>453640</x:v>
      </x:c>
      <x:c r="G9" s="36" t="n">
        <x:f>'Unit Economics'!G41*B9</x:f>
        <x:v>528249.2</x:v>
      </x:c>
      <x:c r="H9" s="36" t="n">
        <x:f>E9-F9-G9</x:f>
        <x:v>995727.3254237291</x:v>
      </x:c>
      <x:c r="I9" s="36" t="n">
        <x:f>'Unit Economics'!G7</x:f>
        <x:v>1000000</x:v>
      </x:c>
      <x:c r="J9" s="36" t="n">
        <x:f>H9-I9</x:f>
        <x:v>-4272.67457627086</x:v>
      </x:c>
      <x:c r="K9" s="48" t="n">
        <x:f>J9/E9</x:f>
        <x:v>-0.0021605172293730633</x:v>
      </x:c>
      <x:c r="L9" s="44" t="n">
        <x:f>'Unit Economics'!G5</x:f>
        <x:v>5155</x:v>
      </x:c>
      <x:c r="M9" s="36" t="n">
        <x:f>J9+D9</x:f>
        <x:v>351698.30000000005</x:v>
      </x:c>
    </x:row>
    <x:row r="10" ht="44" customHeight="1">
      <x:c r="A10" s="70" t="str">
        <x:f>'Unit Economics'!H3</x:f>
        <x:v>Conservative | 50,000</x:v>
      </x:c>
      <x:c r="B10" s="44" t="n">
        <x:f>'Unit Economics'!H4</x:f>
        <x:v>50000</x:v>
      </x:c>
      <x:c r="C10" s="36" t="n">
        <x:f>'Unit Economics'!H19*B10</x:f>
        <x:v>18929625</x:v>
      </x:c>
      <x:c r="D10" s="36" t="n">
        <x:f>C10-E10</x:f>
        <x:v>2887569.915254237</x:v>
      </x:c>
      <x:c r="E10" s="36" t="n">
        <x:f>'Unit Economics'!H20*B10</x:f>
        <x:v>16042055.084745763</x:v>
      </x:c>
      <x:c r="F10" s="36" t="n">
        <x:f>'Unit Economics'!H5*'Unit Economics'!H6</x:f>
        <x:v>6333365</x:v>
      </x:c>
      <x:c r="G10" s="36" t="n">
        <x:f>'Unit Economics'!H41*B10</x:f>
        <x:v>8293866</x:v>
      </x:c>
      <x:c r="H10" s="36" t="n">
        <x:f>E10-F10-G10</x:f>
        <x:v>1414824.0847457629</x:v>
      </x:c>
      <x:c r="I10" s="36" t="n">
        <x:f>'Unit Economics'!H7</x:f>
        <x:v>5000000</x:v>
      </x:c>
      <x:c r="J10" s="36" t="n">
        <x:f>H10-I10</x:f>
        <x:v>-3585175.915254237</x:v>
      </x:c>
      <x:c r="K10" s="48" t="n">
        <x:f>J10/E10</x:f>
        <x:v>-0.22348607434114515</x:v>
      </x:c>
      <x:c r="L10" s="44" t="n">
        <x:f>'Unit Economics'!H5</x:f>
        <x:v>66667</x:v>
      </x:c>
      <x:c r="M10" s="36" t="n">
        <x:f>J10+D10</x:f>
        <x:v>-697606</x:v>
      </x:c>
    </x:row>
    <x:row r="11" ht="44" customHeight="1">
      <x:c r="A11" s="70" t="str">
        <x:f>'Unit Economics'!I3</x:f>
        <x:v>Base | 50,000</x:v>
      </x:c>
      <x:c r="B11" s="44" t="n">
        <x:f>'Unit Economics'!I4</x:f>
        <x:v>50000</x:v>
      </x:c>
      <x:c r="C11" s="36" t="n">
        <x:f>'Unit Economics'!I19*B11</x:f>
        <x:v>21507500</x:v>
      </x:c>
      <x:c r="D11" s="36" t="n">
        <x:f>C11-E11</x:f>
        <x:v>3280805.0847457647</x:v>
      </x:c>
      <x:c r="E11" s="36" t="n">
        <x:f>'Unit Economics'!I20*B11</x:f>
        <x:v>18226694.915254235</x:v>
      </x:c>
      <x:c r="F11" s="36" t="n">
        <x:f>'Unit Economics'!I5*'Unit Economics'!I6</x:f>
        <x:v>4333368</x:v>
      </x:c>
      <x:c r="G11" s="36" t="n">
        <x:f>'Unit Economics'!I41*B11</x:f>
        <x:v>6486149</x:v>
      </x:c>
      <x:c r="H11" s="36" t="n">
        <x:f>E11-F11-G11</x:f>
        <x:v>7407177.915254235</x:v>
      </x:c>
      <x:c r="I11" s="36" t="n">
        <x:f>'Unit Economics'!I7</x:f>
        <x:v>4000000</x:v>
      </x:c>
      <x:c r="J11" s="36" t="n">
        <x:f>H11-I11</x:f>
        <x:v>3407177.9152542353</x:v>
      </x:c>
      <x:c r="K11" s="48" t="n">
        <x:f>J11/E11</x:f>
        <x:v>0.18693339253748684</x:v>
      </x:c>
      <x:c r="L11" s="44" t="n">
        <x:f>'Unit Economics'!I5</x:f>
        <x:v>55556</x:v>
      </x:c>
      <x:c r="M11" s="36" t="n">
        <x:f>J11+D11</x:f>
        <x:v>6687983</x:v>
      </x:c>
    </x:row>
    <x:row r="12" ht="44" customHeight="1">
      <x:c r="A12" s="70" t="str">
        <x:f>'Unit Economics'!J3</x:f>
        <x:v>Optimistic | 50,000</x:v>
      </x:c>
      <x:c r="B12" s="44" t="n">
        <x:f>'Unit Economics'!J4</x:f>
        <x:v>50000</x:v>
      </x:c>
      <x:c r="C12" s="36" t="n">
        <x:f>'Unit Economics'!J19*B12</x:f>
        <x:v>23335875</x:v>
      </x:c>
      <x:c r="D12" s="36" t="n">
        <x:f>C12-E12</x:f>
        <x:v>3559709.7457627095</x:v>
      </x:c>
      <x:c r="E12" s="36" t="n">
        <x:f>'Unit Economics'!J20*B12</x:f>
        <x:v>19776165.25423729</x:v>
      </x:c>
      <x:c r="F12" s="36" t="n">
        <x:f>'Unit Economics'!J5*'Unit Economics'!J6</x:f>
        <x:v>3350555</x:v>
      </x:c>
      <x:c r="G12" s="36" t="n">
        <x:f>'Unit Economics'!J41*B12</x:f>
        <x:v>5282492</x:v>
      </x:c>
      <x:c r="H12" s="36" t="n">
        <x:f>E12-F12-G12</x:f>
        <x:v>11143118.25423729</x:v>
      </x:c>
      <x:c r="I12" s="36" t="n">
        <x:f>'Unit Economics'!J7</x:f>
        <x:v>3500000</x:v>
      </x:c>
      <x:c r="J12" s="36" t="n">
        <x:f>H12-I12</x:f>
        <x:v>7643118.2542372905</x:v>
      </x:c>
      <x:c r="K12" s="48" t="n">
        <x:f>J12/E12</x:f>
        <x:v>0.3864813100001608</x:v>
      </x:c>
      <x:c r="L12" s="44" t="n">
        <x:f>'Unit Economics'!J5</x:f>
        <x:v>51547</x:v>
      </x:c>
      <x:c r="M12" s="36" t="n">
        <x:f>J12+D12</x:f>
        <x:v>11202828</x:v>
      </x:c>
    </x:row>
    <x:row r="13" ht="23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</x:sheetData>
  <x:mergeCells>
    <x:mergeCell ref="A1:M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8" customHeight="1">
      <x:c r="A1" s="8" t="str">
        <x:v>CASH FLOW | PRINT DEPOSITS, 60-DAY TRADE COLLECTIONS &amp; FULL USAGE RESERVES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30" customHeight="1">
      <x:c r="A3" s="8" t="str">
        <x:v>Conservative | 500 retained books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42" customHeight="1">
      <x:c r="A4" s="14" t="str">
        <x:v>Month</x:v>
      </x:c>
      <x:c r="B4" s="14" t="str">
        <x:v>Retained sales</x:v>
      </x:c>
      <x:c r="C4" s="14" t="str">
        <x:v>Print receipts</x:v>
      </x:c>
      <x:c r="D4" s="14" t="str">
        <x:v>Closing stock</x:v>
      </x:c>
      <x:c r="E4" s="14" t="str">
        <x:v>Gross invoiced</x:v>
      </x:c>
      <x:c r="F4" s="14" t="str">
        <x:v>Trade invoiced</x:v>
      </x:c>
      <x:c r="G4" s="14" t="str">
        <x:v>Cash receipts</x:v>
      </x:c>
      <x:c r="H4" s="14" t="str">
        <x:v>GST reserved</x:v>
      </x:c>
      <x:c r="I4" s="14" t="str">
        <x:v>Printer cash</x:v>
      </x:c>
      <x:c r="J4" s="14" t="str">
        <x:v>Other variable/reserved</x:v>
      </x:c>
      <x:c r="K4" s="14" t="str">
        <x:v>Fixed cash</x:v>
      </x:c>
      <x:c r="L4" s="14" t="str">
        <x:v>Net usable cash</x:v>
      </x:c>
      <x:c r="M4" s="14" t="str">
        <x:v>Cumulative cash</x:v>
      </x:c>
      <x:c r="N4" s="14" t="str">
        <x:v>Trade receivable</x:v>
      </x:c>
    </x:row>
    <x:row r="5" ht="23" customHeight="1">
      <x:c r="A5" s="68" t="n">
        <x:f>1</x:f>
        <x:v>1</x:v>
      </x:c>
      <x:c r="B5" s="46" t="n">
        <x:f>ROUND('Unit Economics'!B4*'Global Inputs'!B33,0)</x:f>
        <x:v>0</x:v>
      </x:c>
      <x:c r="C5" s="46" t="n">
        <x:f>0</x:f>
        <x:v>0</x:v>
      </x:c>
      <x:c r="D5" s="46" t="n">
        <x:f>SUM(C5:C5)-SUM(B5:B5)</x:f>
        <x:v>0</x:v>
      </x:c>
      <x:c r="E5" s="28" t="n">
        <x:f>B5*'Unit Economics'!B19</x:f>
        <x:v>0</x:v>
      </x:c>
      <x:c r="F5" s="28" t="n">
        <x:f>B5*'Unit Economics'!B11*'Unit Economics'!B17</x:f>
        <x:v>0</x:v>
      </x:c>
      <x:c r="G5" s="28" t="n">
        <x:f>E5-F5</x:f>
        <x:v>0</x:v>
      </x:c>
      <x:c r="H5" s="28" t="n">
        <x:f>E5*'Global Inputs'!$B$5/(1+'Global Inputs'!$B$5)</x:f>
        <x:v>0</x:v>
      </x:c>
      <x:c r="I5" s="28" t="n">
        <x:f>(C5*(1-'Global Inputs'!$B$14)+C6*'Global Inputs'!$B$14)*'Unit Economics'!B6</x:f>
        <x:v>25365</x:v>
      </x:c>
      <x:c r="J5" s="28" t="n">
        <x:f>B5*'Unit Economics'!B41</x:f>
        <x:v>0</x:v>
      </x:c>
      <x:c r="K5" s="28" t="n">
        <x:f>'Global Inputs'!C33*'Unit Economics'!B7</x:f>
        <x:v>262500</x:v>
      </x:c>
      <x:c r="L5" s="28" t="n">
        <x:f>G5-SUM(H5:K5)</x:f>
        <x:v>-287865</x:v>
      </x:c>
      <x:c r="M5" s="28" t="n">
        <x:f>SUM(L5:L5)</x:f>
        <x:v>-287865</x:v>
      </x:c>
      <x:c r="N5" s="28" t="n">
        <x:f>SUM(F5:F5)-(SUM(G5:G5)-SUM(E5:E5)+SUM(F5:F5))</x:f>
        <x:v>0</x:v>
      </x:c>
    </x:row>
    <x:row r="6" ht="23" customHeight="1">
      <x:c r="A6" s="68" t="n">
        <x:f>2</x:f>
        <x:v>2</x:v>
      </x:c>
      <x:c r="B6" s="46" t="n">
        <x:f>ROUND('Unit Economics'!B4*'Global Inputs'!B34,0)</x:f>
        <x:v>0</x:v>
      </x:c>
      <x:c r="C6" s="46" t="n">
        <x:f>ROUND('Unit Economics'!B5*'Global Inputs'!$B$15,0)</x:f>
        <x:v>267</x:v>
      </x:c>
      <x:c r="D6" s="46" t="n">
        <x:f>SUM(C5:C6)-SUM(B5:B6)</x:f>
        <x:v>267</x:v>
      </x:c>
      <x:c r="E6" s="28" t="n">
        <x:f>B6*'Unit Economics'!B19</x:f>
        <x:v>0</x:v>
      </x:c>
      <x:c r="F6" s="28" t="n">
        <x:f>B6*'Unit Economics'!B11*'Unit Economics'!B17</x:f>
        <x:v>0</x:v>
      </x:c>
      <x:c r="G6" s="28" t="n">
        <x:f>E6-F6</x:f>
        <x:v>0</x:v>
      </x:c>
      <x:c r="H6" s="28" t="n">
        <x:f>E6*'Global Inputs'!$B$5/(1+'Global Inputs'!$B$5)</x:f>
        <x:v>0</x:v>
      </x:c>
      <x:c r="I6" s="28" t="n">
        <x:f>(C6*(1-'Global Inputs'!$B$14)+C7*'Global Inputs'!$B$14)*'Unit Economics'!B6</x:f>
        <x:v>25365</x:v>
      </x:c>
      <x:c r="J6" s="28" t="n">
        <x:f>B6*'Unit Economics'!B41</x:f>
        <x:v>0</x:v>
      </x:c>
      <x:c r="K6" s="28" t="n">
        <x:f>'Global Inputs'!C34*'Unit Economics'!B7</x:f>
        <x:v>187500</x:v>
      </x:c>
      <x:c r="L6" s="28" t="n">
        <x:f>G6-SUM(H6:K6)</x:f>
        <x:v>-212865</x:v>
      </x:c>
      <x:c r="M6" s="28" t="n">
        <x:f>SUM(L5:L6)</x:f>
        <x:v>-500730</x:v>
      </x:c>
      <x:c r="N6" s="28" t="n">
        <x:f>SUM(F5:F6)-(SUM(G5:G6)-SUM(E5:E6)+SUM(F5:F6))</x:f>
        <x:v>0</x:v>
      </x:c>
    </x:row>
    <x:row r="7" ht="23" customHeight="1">
      <x:c r="A7" s="68" t="n">
        <x:f>3</x:f>
        <x:v>3</x:v>
      </x:c>
      <x:c r="B7" s="46" t="n">
        <x:f>ROUND('Unit Economics'!B4*'Global Inputs'!B35,0)</x:f>
        <x:v>50</x:v>
      </x:c>
      <x:c r="C7" s="46" t="n">
        <x:f>0</x:f>
        <x:v>0</x:v>
      </x:c>
      <x:c r="D7" s="46" t="n">
        <x:f>SUM(C5:C7)-SUM(B5:B7)</x:f>
        <x:v>217</x:v>
      </x:c>
      <x:c r="E7" s="28" t="n">
        <x:f>B7*'Unit Economics'!B19</x:f>
        <x:v>18929.625</x:v>
      </x:c>
      <x:c r="F7" s="28" t="n">
        <x:f>B7*'Unit Economics'!B11*'Unit Economics'!B17</x:f>
        <x:v>5284.125000000001</x:v>
      </x:c>
      <x:c r="G7" s="28" t="n">
        <x:f>E7-F7+F5</x:f>
        <x:v>13645.5</x:v>
      </x:c>
      <x:c r="H7" s="28" t="n">
        <x:f>E7*'Global Inputs'!$B$5/(1+'Global Inputs'!$B$5)</x:f>
        <x:v>2887.5699152542375</x:v>
      </x:c>
      <x:c r="I7" s="28" t="n">
        <x:f>(C7*(1-'Global Inputs'!$B$14)+C8*'Global Inputs'!$B$14)*'Unit Economics'!B6</x:f>
        <x:v>22135</x:v>
      </x:c>
      <x:c r="J7" s="28" t="n">
        <x:f>B7*'Unit Economics'!B41</x:f>
        <x:v>8293.866</x:v>
      </x:c>
      <x:c r="K7" s="28" t="n">
        <x:f>'Global Inputs'!C35*'Unit Economics'!B7</x:f>
        <x:v>75000</x:v>
      </x:c>
      <x:c r="L7" s="28" t="n">
        <x:f>G7-SUM(H7:K7)</x:f>
        <x:v>-94670.93591525423</x:v>
      </x:c>
      <x:c r="M7" s="28" t="n">
        <x:f>SUM(L5:L7)</x:f>
        <x:v>-595400.9359152543</x:v>
      </x:c>
      <x:c r="N7" s="28" t="n">
        <x:f>SUM(F5:F7)-(SUM(G5:G7)-SUM(E5:E7)+SUM(F5:F7))</x:f>
        <x:v>5284.125</x:v>
      </x:c>
    </x:row>
    <x:row r="8" ht="23" customHeight="1">
      <x:c r="A8" s="68" t="n">
        <x:f>4</x:f>
        <x:v>4</x:v>
      </x:c>
      <x:c r="B8" s="46" t="n">
        <x:f>ROUND('Unit Economics'!B4*'Global Inputs'!B36,0)</x:f>
        <x:v>150</x:v>
      </x:c>
      <x:c r="C8" s="46" t="n">
        <x:f>ROUND('Unit Economics'!B5*'Global Inputs'!$B$16,0)</x:f>
        <x:v>233</x:v>
      </x:c>
      <x:c r="D8" s="46" t="n">
        <x:f>SUM(C5:C8)-SUM(B5:B8)</x:f>
        <x:v>300</x:v>
      </x:c>
      <x:c r="E8" s="28" t="n">
        <x:f>B8*'Unit Economics'!B19</x:f>
        <x:v>56788.87499999999</x:v>
      </x:c>
      <x:c r="F8" s="28" t="n">
        <x:f>B8*'Unit Economics'!B11*'Unit Economics'!B17</x:f>
        <x:v>15852.375000000002</x:v>
      </x:c>
      <x:c r="G8" s="28" t="n">
        <x:f>E8-F8+F6</x:f>
        <x:v>40936.49999999999</x:v>
      </x:c>
      <x:c r="H8" s="28" t="n">
        <x:f>E8*'Global Inputs'!$B$5/(1+'Global Inputs'!$B$5)</x:f>
        <x:v>8662.70974576271</x:v>
      </x:c>
      <x:c r="I8" s="28" t="n">
        <x:f>(C8*(1-'Global Inputs'!$B$14)+C9*'Global Inputs'!$B$14)*'Unit Economics'!B6</x:f>
        <x:v>38000</x:v>
      </x:c>
      <x:c r="J8" s="28" t="n">
        <x:f>B8*'Unit Economics'!B41</x:f>
        <x:v>24881.597999999998</x:v>
      </x:c>
      <x:c r="K8" s="28" t="n">
        <x:f>'Global Inputs'!C36*'Unit Economics'!B7</x:f>
        <x:v>37500</x:v>
      </x:c>
      <x:c r="L8" s="28" t="n">
        <x:f>G8-SUM(H8:K8)</x:f>
        <x:v>-68107.80774576272</x:v>
      </x:c>
      <x:c r="M8" s="28" t="n">
        <x:f>SUM(L5:L8)</x:f>
        <x:v>-663508.743661017</x:v>
      </x:c>
      <x:c r="N8" s="28" t="n">
        <x:f>SUM(F5:F8)-(SUM(G5:G8)-SUM(E5:E8)+SUM(F5:F8))</x:f>
        <x:v>21136.500000000007</x:v>
      </x:c>
    </x:row>
    <x:row r="9" ht="23" customHeight="1">
      <x:c r="A9" s="68" t="n">
        <x:f>5</x:f>
        <x:v>5</x:v>
      </x:c>
      <x:c r="B9" s="46" t="n">
        <x:f>ROUND('Unit Economics'!B4*'Global Inputs'!B37,0)</x:f>
        <x:v>175</x:v>
      </x:c>
      <x:c r="C9" s="46" t="n">
        <x:f>'Unit Economics'!B5-SUM(C5:C8)</x:f>
        <x:v>167</x:v>
      </x:c>
      <x:c r="D9" s="46" t="n">
        <x:f>SUM(C5:C9)-SUM(B5:B9)</x:f>
        <x:v>292</x:v>
      </x:c>
      <x:c r="E9" s="28" t="n">
        <x:f>B9*'Unit Economics'!B19</x:f>
        <x:v>66253.6875</x:v>
      </x:c>
      <x:c r="F9" s="28" t="n">
        <x:f>B9*'Unit Economics'!B11*'Unit Economics'!B17</x:f>
        <x:v>18494.4375</x:v>
      </x:c>
      <x:c r="G9" s="28" t="n">
        <x:f>E9-F9+F7</x:f>
        <x:v>53043.375</x:v>
      </x:c>
      <x:c r="H9" s="28" t="n">
        <x:f>E9*'Global Inputs'!$B$5/(1+'Global Inputs'!$B$5)</x:f>
        <x:v>10106.494703389832</x:v>
      </x:c>
      <x:c r="I9" s="28" t="n">
        <x:f>(C9*(1-'Global Inputs'!$B$14)+C10*'Global Inputs'!$B$14)*'Unit Economics'!B6</x:f>
        <x:v>15865</x:v>
      </x:c>
      <x:c r="J9" s="28" t="n">
        <x:f>B9*'Unit Economics'!B41</x:f>
        <x:v>29028.531</x:v>
      </x:c>
      <x:c r="K9" s="28" t="n">
        <x:f>'Global Inputs'!C37*'Unit Economics'!B7</x:f>
        <x:v>37500</x:v>
      </x:c>
      <x:c r="L9" s="28" t="n">
        <x:f>G9-SUM(H9:K9)</x:f>
        <x:v>-39456.65070338984</x:v>
      </x:c>
      <x:c r="M9" s="28" t="n">
        <x:f>SUM(L5:L9)</x:f>
        <x:v>-702965.3943644068</x:v>
      </x:c>
      <x:c r="N9" s="28" t="n">
        <x:f>SUM(F5:F9)-(SUM(G5:G9)-SUM(E5:E9)+SUM(F5:F9))</x:f>
        <x:v>34346.8125</x:v>
      </x:c>
    </x:row>
    <x:row r="10" ht="23" customHeight="1">
      <x:c r="A10" s="68" t="n">
        <x:f>6</x:f>
        <x:v>6</x:v>
      </x:c>
      <x:c r="B10" s="46" t="n">
        <x:f>ROUND('Unit Economics'!B4*'Global Inputs'!B38,0)</x:f>
        <x:v>75</x:v>
      </x:c>
      <x:c r="C10" s="46" t="n">
        <x:f>0</x:f>
        <x:v>0</x:v>
      </x:c>
      <x:c r="D10" s="46" t="n">
        <x:f>SUM(C5:C10)-SUM(B5:B10)</x:f>
        <x:v>217</x:v>
      </x:c>
      <x:c r="E10" s="28" t="n">
        <x:f>B10*'Unit Economics'!B19</x:f>
        <x:v>28394.437499999996</x:v>
      </x:c>
      <x:c r="F10" s="28" t="n">
        <x:f>B10*'Unit Economics'!B11*'Unit Economics'!B17</x:f>
        <x:v>7926.187500000001</x:v>
      </x:c>
      <x:c r="G10" s="28" t="n">
        <x:f>E10-F10+F8</x:f>
        <x:v>36320.625</x:v>
      </x:c>
      <x:c r="H10" s="28" t="n">
        <x:f>E10*'Global Inputs'!$B$5/(1+'Global Inputs'!$B$5)</x:f>
        <x:v>4331.354872881355</x:v>
      </x:c>
      <x:c r="I10" s="28" t="n">
        <x:f>(C10*(1-'Global Inputs'!$B$14)+C11*'Global Inputs'!$B$14)*'Unit Economics'!B6</x:f>
        <x:v>0</x:v>
      </x:c>
      <x:c r="J10" s="28" t="n">
        <x:f>B10*'Unit Economics'!B41</x:f>
        <x:v>12440.798999999999</x:v>
      </x:c>
      <x:c r="K10" s="28" t="n">
        <x:f>'Global Inputs'!C38*'Unit Economics'!B7</x:f>
        <x:v>37500</x:v>
      </x:c>
      <x:c r="L10" s="28" t="n">
        <x:f>G10-SUM(H10:K10)</x:f>
        <x:v>-17951.528872881354</x:v>
      </x:c>
      <x:c r="M10" s="28" t="n">
        <x:f>SUM(L5:L10)</x:f>
        <x:v>-720916.9232372881</x:v>
      </x:c>
      <x:c r="N10" s="28" t="n">
        <x:f>SUM(F5:F10)-(SUM(G5:G10)-SUM(E5:E10)+SUM(F5:F10))</x:f>
        <x:v>26420.625</x:v>
      </x:c>
    </x:row>
    <x:row r="11" ht="23" customHeight="1">
      <x:c r="A11" s="68" t="n">
        <x:f>7</x:f>
        <x:v>7</x:v>
      </x:c>
      <x:c r="B11" s="46" t="n">
        <x:f>ROUND('Unit Economics'!B4*'Global Inputs'!B39,0)</x:f>
        <x:v>25</x:v>
      </x:c>
      <x:c r="C11" s="46" t="n">
        <x:f>0</x:f>
        <x:v>0</x:v>
      </x:c>
      <x:c r="D11" s="46" t="n">
        <x:f>SUM(C5:C11)-SUM(B5:B11)</x:f>
        <x:v>192</x:v>
      </x:c>
      <x:c r="E11" s="28" t="n">
        <x:f>B11*'Unit Economics'!B19</x:f>
        <x:v>9464.8125</x:v>
      </x:c>
      <x:c r="F11" s="28" t="n">
        <x:f>B11*'Unit Economics'!B11*'Unit Economics'!B17</x:f>
        <x:v>2642.0625000000005</x:v>
      </x:c>
      <x:c r="G11" s="28" t="n">
        <x:f>E11-F11+F9</x:f>
        <x:v>25317.1875</x:v>
      </x:c>
      <x:c r="H11" s="28" t="n">
        <x:f>E11*'Global Inputs'!$B$5/(1+'Global Inputs'!$B$5)</x:f>
        <x:v>1443.7849576271187</x:v>
      </x:c>
      <x:c r="I11" s="28" t="n">
        <x:f>(C11*(1-'Global Inputs'!$B$14)+C12*'Global Inputs'!$B$14)*'Unit Economics'!B6</x:f>
        <x:v>0</x:v>
      </x:c>
      <x:c r="J11" s="28" t="n">
        <x:f>B11*'Unit Economics'!B41</x:f>
        <x:v>4146.933</x:v>
      </x:c>
      <x:c r="K11" s="28" t="n">
        <x:f>'Global Inputs'!C39*'Unit Economics'!B7</x:f>
        <x:v>30000</x:v>
      </x:c>
      <x:c r="L11" s="28" t="n">
        <x:f>G11-SUM(H11:K11)</x:f>
        <x:v>-10273.530457627116</x:v>
      </x:c>
      <x:c r="M11" s="28" t="n">
        <x:f>SUM(L5:L11)</x:f>
        <x:v>-731190.4536949153</x:v>
      </x:c>
      <x:c r="N11" s="28" t="n">
        <x:f>SUM(F5:F11)-(SUM(G5:G11)-SUM(E5:E11)+SUM(F5:F11))</x:f>
        <x:v>10568.25</x:v>
      </x:c>
    </x:row>
    <x:row r="12" ht="23" customHeight="1">
      <x:c r="A12" s="68" t="n">
        <x:f>8</x:f>
        <x:v>8</x:v>
      </x:c>
      <x:c r="B12" s="46" t="n">
        <x:f>ROUND('Unit Economics'!B4*'Global Inputs'!B40,0)</x:f>
        <x:v>13</x:v>
      </x:c>
      <x:c r="C12" s="46" t="n">
        <x:f>0</x:f>
        <x:v>0</x:v>
      </x:c>
      <x:c r="D12" s="46" t="n">
        <x:f>SUM(C5:C12)-SUM(B5:B12)</x:f>
        <x:v>179</x:v>
      </x:c>
      <x:c r="E12" s="28" t="n">
        <x:f>B12*'Unit Economics'!B19</x:f>
        <x:v>4921.702499999999</x:v>
      </x:c>
      <x:c r="F12" s="28" t="n">
        <x:f>B12*'Unit Economics'!B11*'Unit Economics'!B17</x:f>
        <x:v>1373.8725000000002</x:v>
      </x:c>
      <x:c r="G12" s="28" t="n">
        <x:f>E12-F12+F10</x:f>
        <x:v>11474.0175</x:v>
      </x:c>
      <x:c r="H12" s="28" t="n">
        <x:f>E12*'Global Inputs'!$B$5/(1+'Global Inputs'!$B$5)</x:f>
        <x:v>750.7681779661016</x:v>
      </x:c>
      <x:c r="I12" s="28" t="n">
        <x:f>(C12*(1-'Global Inputs'!$B$14)+C13*'Global Inputs'!$B$14)*'Unit Economics'!B6</x:f>
        <x:v>0</x:v>
      </x:c>
      <x:c r="J12" s="28" t="n">
        <x:f>B12*'Unit Economics'!B41</x:f>
        <x:v>2156.40516</x:v>
      </x:c>
      <x:c r="K12" s="28" t="n">
        <x:f>'Global Inputs'!C40*'Unit Economics'!B7</x:f>
        <x:v>30000</x:v>
      </x:c>
      <x:c r="L12" s="28" t="n">
        <x:f>G12-SUM(H12:K12)</x:f>
        <x:v>-21433.1558379661</x:v>
      </x:c>
      <x:c r="M12" s="28" t="n">
        <x:f>SUM(L5:L12)</x:f>
        <x:v>-752623.6095328814</x:v>
      </x:c>
      <x:c r="N12" s="28" t="n">
        <x:f>SUM(F5:F12)-(SUM(G5:G12)-SUM(E5:E12)+SUM(F5:F12))</x:f>
        <x:v>4015.935000000027</x:v>
      </x:c>
    </x:row>
    <x:row r="13" ht="23" customHeight="1">
      <x:c r="A13" s="68" t="n">
        <x:f>9</x:f>
        <x:v>9</x:v>
      </x:c>
      <x:c r="B13" s="46" t="n">
        <x:f>'Unit Economics'!B4-SUM(B5:B12)</x:f>
        <x:v>12</x:v>
      </x:c>
      <x:c r="C13" s="46" t="n">
        <x:f>0</x:f>
        <x:v>0</x:v>
      </x:c>
      <x:c r="D13" s="46" t="n">
        <x:f>SUM(C5:C13)-SUM(B5:B13)</x:f>
        <x:v>167</x:v>
      </x:c>
      <x:c r="E13" s="28" t="n">
        <x:f>B13*'Unit Economics'!B19</x:f>
        <x:v>4543.11</x:v>
      </x:c>
      <x:c r="F13" s="28" t="n">
        <x:f>B13*'Unit Economics'!B11*'Unit Economics'!B17</x:f>
        <x:v>1268.19</x:v>
      </x:c>
      <x:c r="G13" s="28" t="n">
        <x:f>E13-F13+F11</x:f>
        <x:v>5916.9825</x:v>
      </x:c>
      <x:c r="H13" s="28" t="n">
        <x:f>E13*'Global Inputs'!$B$5/(1+'Global Inputs'!$B$5)</x:f>
        <x:v>693.0167796610169</x:v>
      </x:c>
      <x:c r="I13" s="28" t="n">
        <x:f>(C13*(1-'Global Inputs'!$B$14)+C14*'Global Inputs'!$B$14)*'Unit Economics'!B6</x:f>
        <x:v>0</x:v>
      </x:c>
      <x:c r="J13" s="28" t="n">
        <x:f>B13*'Unit Economics'!B41</x:f>
        <x:v>1990.52784</x:v>
      </x:c>
      <x:c r="K13" s="28" t="n">
        <x:f>'Global Inputs'!C41*'Unit Economics'!B7</x:f>
        <x:v>15000</x:v>
      </x:c>
      <x:c r="L13" s="28" t="n">
        <x:f>G13-SUM(H13:K13)</x:f>
        <x:v>-11766.562119661017</x:v>
      </x:c>
      <x:c r="M13" s="28" t="n">
        <x:f>SUM(L5:L13)</x:f>
        <x:v>-764390.1716525424</x:v>
      </x:c>
      <x:c r="N13" s="28" t="n">
        <x:f>SUM(F5:F13)-(SUM(G5:G13)-SUM(E5:E13)+SUM(F5:F13))</x:f>
        <x:v>2642.0625</x:v>
      </x:c>
    </x:row>
    <x:row r="14" ht="23" customHeight="1">
      <x:c r="A14" s="68" t="n">
        <x:f>10</x:f>
        <x:v>10</x:v>
      </x:c>
      <x:c r="B14" s="46" t="n">
        <x:f>ROUND('Unit Economics'!B4*'Global Inputs'!B42,0)</x:f>
        <x:v>0</x:v>
      </x:c>
      <x:c r="C14" s="46" t="n">
        <x:f>0</x:f>
        <x:v>0</x:v>
      </x:c>
      <x:c r="D14" s="46" t="n">
        <x:f>SUM(C5:C14)-SUM(B5:B14)</x:f>
        <x:v>167</x:v>
      </x:c>
      <x:c r="E14" s="28" t="n">
        <x:f>B14*'Unit Economics'!B19</x:f>
        <x:v>0</x:v>
      </x:c>
      <x:c r="F14" s="28" t="n">
        <x:f>B14*'Unit Economics'!B11*'Unit Economics'!B17</x:f>
        <x:v>0</x:v>
      </x:c>
      <x:c r="G14" s="28" t="n">
        <x:f>E14-F14+F12</x:f>
        <x:v>1373.8725000000002</x:v>
      </x:c>
      <x:c r="H14" s="28" t="n">
        <x:f>E14*'Global Inputs'!$B$5/(1+'Global Inputs'!$B$5)</x:f>
        <x:v>0</x:v>
      </x:c>
      <x:c r="I14" s="28" t="n">
        <x:f>(C14*(1-'Global Inputs'!$B$14)+C15*'Global Inputs'!$B$14)*'Unit Economics'!B6</x:f>
        <x:v>0</x:v>
      </x:c>
      <x:c r="J14" s="28" t="n">
        <x:f>B14*'Unit Economics'!B41</x:f>
        <x:v>0</x:v>
      </x:c>
      <x:c r="K14" s="28" t="n">
        <x:f>'Global Inputs'!C42*'Unit Economics'!B7</x:f>
        <x:v>15000</x:v>
      </x:c>
      <x:c r="L14" s="28" t="n">
        <x:f>G14-SUM(H14:K14)</x:f>
        <x:v>-13626.1275</x:v>
      </x:c>
      <x:c r="M14" s="28" t="n">
        <x:f>SUM(L5:L14)</x:f>
        <x:v>-778016.2991525424</x:v>
      </x:c>
      <x:c r="N14" s="28" t="n">
        <x:f>SUM(F5:F14)-(SUM(G5:G14)-SUM(E5:E14)+SUM(F5:F14))</x:f>
        <x:v>1268.1900000000023</x:v>
      </x:c>
    </x:row>
    <x:row r="15" ht="23" customHeight="1">
      <x:c r="A15" s="68" t="n">
        <x:f>11</x:f>
        <x:v>11</x:v>
      </x:c>
      <x:c r="B15" s="46" t="n">
        <x:f>ROUND('Unit Economics'!B4*'Global Inputs'!B43,0)</x:f>
        <x:v>0</x:v>
      </x:c>
      <x:c r="C15" s="46" t="n">
        <x:f>0</x:f>
        <x:v>0</x:v>
      </x:c>
      <x:c r="D15" s="46" t="n">
        <x:f>SUM(C5:C15)-SUM(B5:B15)</x:f>
        <x:v>167</x:v>
      </x:c>
      <x:c r="E15" s="28" t="n">
        <x:f>B15*'Unit Economics'!B19</x:f>
        <x:v>0</x:v>
      </x:c>
      <x:c r="F15" s="28" t="n">
        <x:f>B15*'Unit Economics'!B11*'Unit Economics'!B17</x:f>
        <x:v>0</x:v>
      </x:c>
      <x:c r="G15" s="28" t="n">
        <x:f>E15-F15+F13</x:f>
        <x:v>1268.19</x:v>
      </x:c>
      <x:c r="H15" s="28" t="n">
        <x:f>E15*'Global Inputs'!$B$5/(1+'Global Inputs'!$B$5)</x:f>
        <x:v>0</x:v>
      </x:c>
      <x:c r="I15" s="28" t="n">
        <x:f>(C15*(1-'Global Inputs'!$B$14)+C16*'Global Inputs'!$B$14)*'Unit Economics'!B6</x:f>
        <x:v>0</x:v>
      </x:c>
      <x:c r="J15" s="28" t="n">
        <x:f>B15*'Unit Economics'!B41</x:f>
        <x:v>0</x:v>
      </x:c>
      <x:c r="K15" s="28" t="n">
        <x:f>'Global Inputs'!C43*'Unit Economics'!B7</x:f>
        <x:v>15000</x:v>
      </x:c>
      <x:c r="L15" s="28" t="n">
        <x:f>G15-SUM(H15:K15)</x:f>
        <x:v>-13731.81</x:v>
      </x:c>
      <x:c r="M15" s="28" t="n">
        <x:f>SUM(L5:L15)</x:f>
        <x:v>-791748.1091525424</x:v>
      </x:c>
      <x:c r="N15" s="28" t="n">
        <x:f>SUM(F5:F15)-(SUM(G5:G15)-SUM(E5:E15)+SUM(F5:F15))</x:f>
        <x:v>0</x:v>
      </x:c>
    </x:row>
    <x:row r="16" ht="23" customHeight="1">
      <x:c r="A16" s="68" t="n">
        <x:f>12</x:f>
        <x:v>12</x:v>
      </x:c>
      <x:c r="B16" s="46" t="n">
        <x:f>ROUND('Unit Economics'!B4*'Global Inputs'!B44,0)</x:f>
        <x:v>0</x:v>
      </x:c>
      <x:c r="C16" s="46" t="n">
        <x:f>0</x:f>
        <x:v>0</x:v>
      </x:c>
      <x:c r="D16" s="46" t="n">
        <x:f>SUM(C5:C16)-SUM(B5:B16)</x:f>
        <x:v>167</x:v>
      </x:c>
      <x:c r="E16" s="28" t="n">
        <x:f>B16*'Unit Economics'!B19</x:f>
        <x:v>0</x:v>
      </x:c>
      <x:c r="F16" s="28" t="n">
        <x:f>B16*'Unit Economics'!B11*'Unit Economics'!B17</x:f>
        <x:v>0</x:v>
      </x:c>
      <x:c r="G16" s="28" t="n">
        <x:f>E16-F16+F14</x:f>
        <x:v>0</x:v>
      </x:c>
      <x:c r="H16" s="28" t="n">
        <x:f>E16*'Global Inputs'!$B$5/(1+'Global Inputs'!$B$5)</x:f>
        <x:v>0</x:v>
      </x:c>
      <x:c r="I16" s="28" t="n">
        <x:f>(C16*(1-'Global Inputs'!$B$14))*'Unit Economics'!B6</x:f>
        <x:v>0</x:v>
      </x:c>
      <x:c r="J16" s="28" t="n">
        <x:f>B16*'Unit Economics'!B41</x:f>
        <x:v>0</x:v>
      </x:c>
      <x:c r="K16" s="28" t="n">
        <x:f>'Global Inputs'!C44*'Unit Economics'!B7</x:f>
        <x:v>7500</x:v>
      </x:c>
      <x:c r="L16" s="28" t="n">
        <x:f>G16-SUM(H16:K16)</x:f>
        <x:v>-7500</x:v>
      </x:c>
      <x:c r="M16" s="28" t="n">
        <x:f>SUM(L5:L16)</x:f>
        <x:v>-799248.1091525424</x:v>
      </x:c>
      <x:c r="N16" s="28" t="n">
        <x:f>SUM(F5:F16)-(SUM(G5:G16)-SUM(E5:E16)+SUM(F5:F16))</x:f>
        <x:v>0</x:v>
      </x:c>
    </x:row>
    <x:row r="17" ht="23" customHeight="1">
      <x:c r="A17" s="4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 ht="23" customHeight="1">
      <x:c r="A18" s="4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 ht="30" customHeight="1">
      <x:c r="A19" s="7" t="str">
        <x:v>Base | 500 retained books</x:v>
      </x:c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</x:row>
    <x:row r="20" ht="42" customHeight="1">
      <x:c r="A20" s="14" t="str">
        <x:v>Month</x:v>
      </x:c>
      <x:c r="B20" s="78" t="str">
        <x:v>Retained sales</x:v>
      </x:c>
      <x:c r="C20" s="78" t="str">
        <x:v>Print receipts</x:v>
      </x:c>
      <x:c r="D20" s="78" t="str">
        <x:v>Closing stock</x:v>
      </x:c>
      <x:c r="E20" s="78" t="str">
        <x:v>Gross invoiced</x:v>
      </x:c>
      <x:c r="F20" s="78" t="str">
        <x:v>Trade invoiced</x:v>
      </x:c>
      <x:c r="G20" s="78" t="str">
        <x:v>Cash receipts</x:v>
      </x:c>
      <x:c r="H20" s="78" t="str">
        <x:v>GST reserved</x:v>
      </x:c>
      <x:c r="I20" s="78" t="str">
        <x:v>Printer cash</x:v>
      </x:c>
      <x:c r="J20" s="78" t="str">
        <x:v>Other variable/reserved</x:v>
      </x:c>
      <x:c r="K20" s="78" t="str">
        <x:v>Fixed cash</x:v>
      </x:c>
      <x:c r="L20" s="78" t="str">
        <x:v>Net usable cash</x:v>
      </x:c>
      <x:c r="M20" s="78" t="str">
        <x:v>Cumulative cash</x:v>
      </x:c>
      <x:c r="N20" s="78" t="str">
        <x:v>Trade receivable</x:v>
      </x:c>
    </x:row>
    <x:row r="21" ht="23" customHeight="1">
      <x:c r="A21" s="68" t="n">
        <x:f>1</x:f>
        <x:v>1</x:v>
      </x:c>
      <x:c r="B21" s="46" t="n">
        <x:f>ROUND('Unit Economics'!C4*'Global Inputs'!B33,0)</x:f>
        <x:v>0</x:v>
      </x:c>
      <x:c r="C21" s="46" t="n">
        <x:f>0</x:f>
        <x:v>0</x:v>
      </x:c>
      <x:c r="D21" s="46" t="n">
        <x:f>SUM(C21:C21)-SUM(B21:B21)</x:f>
        <x:v>0</x:v>
      </x:c>
      <x:c r="E21" s="28" t="n">
        <x:f>B21*'Unit Economics'!C19</x:f>
        <x:v>0</x:v>
      </x:c>
      <x:c r="F21" s="28" t="n">
        <x:f>B21*'Unit Economics'!C11*'Unit Economics'!C17</x:f>
        <x:v>0</x:v>
      </x:c>
      <x:c r="G21" s="28" t="n">
        <x:f>E21-F21</x:f>
        <x:v>0</x:v>
      </x:c>
      <x:c r="H21" s="28" t="n">
        <x:f>E21*'Global Inputs'!$B$5/(1+'Global Inputs'!$B$5)</x:f>
        <x:v>0</x:v>
      </x:c>
      <x:c r="I21" s="28" t="n">
        <x:f>(C21*(1-'Global Inputs'!$B$14)+C22*'Global Inputs'!$B$14)*'Unit Economics'!C6</x:f>
        <x:v>17760</x:v>
      </x:c>
      <x:c r="J21" s="28" t="n">
        <x:f>B21*'Unit Economics'!C41</x:f>
        <x:v>0</x:v>
      </x:c>
      <x:c r="K21" s="28" t="n">
        <x:f>'Global Inputs'!C33*'Unit Economics'!C7</x:f>
        <x:v>227500</x:v>
      </x:c>
      <x:c r="L21" s="28" t="n">
        <x:f>G21-SUM(H21:K21)</x:f>
        <x:v>-245260</x:v>
      </x:c>
      <x:c r="M21" s="28" t="n">
        <x:f>SUM(L21:L21)</x:f>
        <x:v>-245260</x:v>
      </x:c>
      <x:c r="N21" s="28" t="n">
        <x:f>SUM(F21:F21)-(SUM(G21:G21)-SUM(E21:E21)+SUM(F21:F21))</x:f>
        <x:v>0</x:v>
      </x:c>
    </x:row>
    <x:row r="22" ht="23" customHeight="1">
      <x:c r="A22" s="68" t="n">
        <x:f>2</x:f>
        <x:v>2</x:v>
      </x:c>
      <x:c r="B22" s="46" t="n">
        <x:f>ROUND('Unit Economics'!C4*'Global Inputs'!B34,0)</x:f>
        <x:v>0</x:v>
      </x:c>
      <x:c r="C22" s="46" t="n">
        <x:f>ROUND('Unit Economics'!C5*'Global Inputs'!$B$15,0)</x:f>
        <x:v>222</x:v>
      </x:c>
      <x:c r="D22" s="46" t="n">
        <x:f>SUM(C21:C22)-SUM(B21:B22)</x:f>
        <x:v>222</x:v>
      </x:c>
      <x:c r="E22" s="28" t="n">
        <x:f>B22*'Unit Economics'!C19</x:f>
        <x:v>0</x:v>
      </x:c>
      <x:c r="F22" s="28" t="n">
        <x:f>B22*'Unit Economics'!C11*'Unit Economics'!C17</x:f>
        <x:v>0</x:v>
      </x:c>
      <x:c r="G22" s="28" t="n">
        <x:f>E22-F22</x:f>
        <x:v>0</x:v>
      </x:c>
      <x:c r="H22" s="28" t="n">
        <x:f>E22*'Global Inputs'!$B$5/(1+'Global Inputs'!$B$5)</x:f>
        <x:v>0</x:v>
      </x:c>
      <x:c r="I22" s="28" t="n">
        <x:f>(C22*(1-'Global Inputs'!$B$14)+C23*'Global Inputs'!$B$14)*'Unit Economics'!C6</x:f>
        <x:v>17760</x:v>
      </x:c>
      <x:c r="J22" s="28" t="n">
        <x:f>B22*'Unit Economics'!C41</x:f>
        <x:v>0</x:v>
      </x:c>
      <x:c r="K22" s="28" t="n">
        <x:f>'Global Inputs'!C34*'Unit Economics'!C7</x:f>
        <x:v>162500</x:v>
      </x:c>
      <x:c r="L22" s="28" t="n">
        <x:f>G22-SUM(H22:K22)</x:f>
        <x:v>-180260</x:v>
      </x:c>
      <x:c r="M22" s="28" t="n">
        <x:f>SUM(L21:L22)</x:f>
        <x:v>-425520</x:v>
      </x:c>
      <x:c r="N22" s="28" t="n">
        <x:f>SUM(F21:F22)-(SUM(G21:G22)-SUM(E21:E22)+SUM(F21:F22))</x:f>
        <x:v>0</x:v>
      </x:c>
    </x:row>
    <x:row r="23" ht="23" customHeight="1">
      <x:c r="A23" s="68" t="n">
        <x:f>3</x:f>
        <x:v>3</x:v>
      </x:c>
      <x:c r="B23" s="46" t="n">
        <x:f>ROUND('Unit Economics'!C4*'Global Inputs'!B35,0)</x:f>
        <x:v>50</x:v>
      </x:c>
      <x:c r="C23" s="46" t="n">
        <x:f>0</x:f>
        <x:v>0</x:v>
      </x:c>
      <x:c r="D23" s="46" t="n">
        <x:f>SUM(C21:C23)-SUM(B21:B23)</x:f>
        <x:v>172</x:v>
      </x:c>
      <x:c r="E23" s="28" t="n">
        <x:f>B23*'Unit Economics'!C19</x:f>
        <x:v>21507.5</x:v>
      </x:c>
      <x:c r="F23" s="28" t="n">
        <x:f>B23*'Unit Economics'!C11*'Unit Economics'!C17</x:f>
        <x:v>4117.5</x:v>
      </x:c>
      <x:c r="G23" s="28" t="n">
        <x:f>E23-F23+F21</x:f>
        <x:v>17390</x:v>
      </x:c>
      <x:c r="H23" s="28" t="n">
        <x:f>E23*'Global Inputs'!$B$5/(1+'Global Inputs'!$B$5)</x:f>
        <x:v>3280.805084745763</x:v>
      </x:c>
      <x:c r="I23" s="28" t="n">
        <x:f>(C23*(1-'Global Inputs'!$B$14)+C24*'Global Inputs'!$B$14)*'Unit Economics'!C6</x:f>
        <x:v>15600</x:v>
      </x:c>
      <x:c r="J23" s="28" t="n">
        <x:f>B23*'Unit Economics'!C41</x:f>
        <x:v>6486.149</x:v>
      </x:c>
      <x:c r="K23" s="28" t="n">
        <x:f>'Global Inputs'!C35*'Unit Economics'!C7</x:f>
        <x:v>65000</x:v>
      </x:c>
      <x:c r="L23" s="28" t="n">
        <x:f>G23-SUM(H23:K23)</x:f>
        <x:v>-72976.95408474577</x:v>
      </x:c>
      <x:c r="M23" s="28" t="n">
        <x:f>SUM(L21:L23)</x:f>
        <x:v>-498496.9540847458</x:v>
      </x:c>
      <x:c r="N23" s="28" t="n">
        <x:f>SUM(F21:F23)-(SUM(G21:G23)-SUM(E21:E23)+SUM(F21:F23))</x:f>
        <x:v>4117.5</x:v>
      </x:c>
    </x:row>
    <x:row r="24" ht="23" customHeight="1">
      <x:c r="A24" s="68" t="n">
        <x:f>4</x:f>
        <x:v>4</x:v>
      </x:c>
      <x:c r="B24" s="46" t="n">
        <x:f>ROUND('Unit Economics'!C4*'Global Inputs'!B36,0)</x:f>
        <x:v>150</x:v>
      </x:c>
      <x:c r="C24" s="46" t="n">
        <x:f>ROUND('Unit Economics'!C5*'Global Inputs'!$B$16,0)</x:f>
        <x:v>195</x:v>
      </x:c>
      <x:c r="D24" s="46" t="n">
        <x:f>SUM(C21:C24)-SUM(B21:B24)</x:f>
        <x:v>217</x:v>
      </x:c>
      <x:c r="E24" s="28" t="n">
        <x:f>B24*'Unit Economics'!C19</x:f>
        <x:v>64522.5</x:v>
      </x:c>
      <x:c r="F24" s="28" t="n">
        <x:f>B24*'Unit Economics'!C11*'Unit Economics'!C17</x:f>
        <x:v>12352.5</x:v>
      </x:c>
      <x:c r="G24" s="28" t="n">
        <x:f>E24-F24+F22</x:f>
        <x:v>52170</x:v>
      </x:c>
      <x:c r="H24" s="28" t="n">
        <x:f>E24*'Global Inputs'!$B$5/(1+'Global Inputs'!$B$5)</x:f>
        <x:v>9842.415254237289</x:v>
      </x:c>
      <x:c r="I24" s="28" t="n">
        <x:f>(C24*(1-'Global Inputs'!$B$14)+C25*'Global Inputs'!$B$14)*'Unit Economics'!C6</x:f>
        <x:v>26720</x:v>
      </x:c>
      <x:c r="J24" s="28" t="n">
        <x:f>B24*'Unit Economics'!C41</x:f>
        <x:v>19458.447</x:v>
      </x:c>
      <x:c r="K24" s="28" t="n">
        <x:f>'Global Inputs'!C36*'Unit Economics'!C7</x:f>
        <x:v>32500</x:v>
      </x:c>
      <x:c r="L24" s="28" t="n">
        <x:f>G24-SUM(H24:K24)</x:f>
        <x:v>-36350.86225423729</x:v>
      </x:c>
      <x:c r="M24" s="28" t="n">
        <x:f>SUM(L21:L24)</x:f>
        <x:v>-534847.8163389831</x:v>
      </x:c>
      <x:c r="N24" s="28" t="n">
        <x:f>SUM(F21:F24)-(SUM(G21:G24)-SUM(E21:E24)+SUM(F21:F24))</x:f>
        <x:v>16470</x:v>
      </x:c>
    </x:row>
    <x:row r="25" ht="23" customHeight="1">
      <x:c r="A25" s="68" t="n">
        <x:f>5</x:f>
        <x:v>5</x:v>
      </x:c>
      <x:c r="B25" s="46" t="n">
        <x:f>ROUND('Unit Economics'!C4*'Global Inputs'!B37,0)</x:f>
        <x:v>175</x:v>
      </x:c>
      <x:c r="C25" s="46" t="n">
        <x:f>'Unit Economics'!C5-SUM(C21:C24)</x:f>
        <x:v>139</x:v>
      </x:c>
      <x:c r="D25" s="46" t="n">
        <x:f>SUM(C21:C25)-SUM(B21:B25)</x:f>
        <x:v>181</x:v>
      </x:c>
      <x:c r="E25" s="28" t="n">
        <x:f>B25*'Unit Economics'!C19</x:f>
        <x:v>75276.25</x:v>
      </x:c>
      <x:c r="F25" s="28" t="n">
        <x:f>B25*'Unit Economics'!C11*'Unit Economics'!C17</x:f>
        <x:v>14411.249999999998</x:v>
      </x:c>
      <x:c r="G25" s="28" t="n">
        <x:f>E25-F25+F23</x:f>
        <x:v>64982.5</x:v>
      </x:c>
      <x:c r="H25" s="28" t="n">
        <x:f>E25*'Global Inputs'!$B$5/(1+'Global Inputs'!$B$5)</x:f>
        <x:v>11482.81779661017</x:v>
      </x:c>
      <x:c r="I25" s="28" t="n">
        <x:f>(C25*(1-'Global Inputs'!$B$14)+C26*'Global Inputs'!$B$14)*'Unit Economics'!C6</x:f>
        <x:v>11120</x:v>
      </x:c>
      <x:c r="J25" s="28" t="n">
        <x:f>B25*'Unit Economics'!C41</x:f>
        <x:v>22701.521500000003</x:v>
      </x:c>
      <x:c r="K25" s="28" t="n">
        <x:f>'Global Inputs'!C37*'Unit Economics'!C7</x:f>
        <x:v>32500</x:v>
      </x:c>
      <x:c r="L25" s="28" t="n">
        <x:f>G25-SUM(H25:K25)</x:f>
        <x:v>-12821.839296610182</x:v>
      </x:c>
      <x:c r="M25" s="28" t="n">
        <x:f>SUM(L21:L25)</x:f>
        <x:v>-547669.6556355933</x:v>
      </x:c>
      <x:c r="N25" s="28" t="n">
        <x:f>SUM(F21:F25)-(SUM(G21:G25)-SUM(E21:E25)+SUM(F21:F25))</x:f>
        <x:v>26763.75</x:v>
      </x:c>
    </x:row>
    <x:row r="26" ht="23" customHeight="1">
      <x:c r="A26" s="68" t="n">
        <x:f>6</x:f>
        <x:v>6</x:v>
      </x:c>
      <x:c r="B26" s="46" t="n">
        <x:f>ROUND('Unit Economics'!C4*'Global Inputs'!B38,0)</x:f>
        <x:v>75</x:v>
      </x:c>
      <x:c r="C26" s="46" t="n">
        <x:f>0</x:f>
        <x:v>0</x:v>
      </x:c>
      <x:c r="D26" s="46" t="n">
        <x:f>SUM(C21:C26)-SUM(B21:B26)</x:f>
        <x:v>106</x:v>
      </x:c>
      <x:c r="E26" s="28" t="n">
        <x:f>B26*'Unit Economics'!C19</x:f>
        <x:v>32261.25</x:v>
      </x:c>
      <x:c r="F26" s="28" t="n">
        <x:f>B26*'Unit Economics'!C11*'Unit Economics'!C17</x:f>
        <x:v>6176.25</x:v>
      </x:c>
      <x:c r="G26" s="28" t="n">
        <x:f>E26-F26+F24</x:f>
        <x:v>38437.5</x:v>
      </x:c>
      <x:c r="H26" s="28" t="n">
        <x:f>E26*'Global Inputs'!$B$5/(1+'Global Inputs'!$B$5)</x:f>
        <x:v>4921.207627118644</x:v>
      </x:c>
      <x:c r="I26" s="28" t="n">
        <x:f>(C26*(1-'Global Inputs'!$B$14)+C27*'Global Inputs'!$B$14)*'Unit Economics'!C6</x:f>
        <x:v>0</x:v>
      </x:c>
      <x:c r="J26" s="28" t="n">
        <x:f>B26*'Unit Economics'!C41</x:f>
        <x:v>9729.2235</x:v>
      </x:c>
      <x:c r="K26" s="28" t="n">
        <x:f>'Global Inputs'!C38*'Unit Economics'!C7</x:f>
        <x:v>32500</x:v>
      </x:c>
      <x:c r="L26" s="28" t="n">
        <x:f>G26-SUM(H26:K26)</x:f>
        <x:v>-8712.931127118645</x:v>
      </x:c>
      <x:c r="M26" s="28" t="n">
        <x:f>SUM(L21:L26)</x:f>
        <x:v>-556382.586762712</x:v>
      </x:c>
      <x:c r="N26" s="28" t="n">
        <x:f>SUM(F21:F26)-(SUM(G21:G26)-SUM(E21:E26)+SUM(F21:F26))</x:f>
        <x:v>20587.5</x:v>
      </x:c>
    </x:row>
    <x:row r="27" ht="23" customHeight="1">
      <x:c r="A27" s="68" t="n">
        <x:f>7</x:f>
        <x:v>7</x:v>
      </x:c>
      <x:c r="B27" s="46" t="n">
        <x:f>ROUND('Unit Economics'!C4*'Global Inputs'!B39,0)</x:f>
        <x:v>25</x:v>
      </x:c>
      <x:c r="C27" s="46" t="n">
        <x:f>0</x:f>
        <x:v>0</x:v>
      </x:c>
      <x:c r="D27" s="46" t="n">
        <x:f>SUM(C21:C27)-SUM(B21:B27)</x:f>
        <x:v>81</x:v>
      </x:c>
      <x:c r="E27" s="28" t="n">
        <x:f>B27*'Unit Economics'!C19</x:f>
        <x:v>10753.75</x:v>
      </x:c>
      <x:c r="F27" s="28" t="n">
        <x:f>B27*'Unit Economics'!C11*'Unit Economics'!C17</x:f>
        <x:v>2058.75</x:v>
      </x:c>
      <x:c r="G27" s="28" t="n">
        <x:f>E27-F27+F25</x:f>
        <x:v>23106.25</x:v>
      </x:c>
      <x:c r="H27" s="28" t="n">
        <x:f>E27*'Global Inputs'!$B$5/(1+'Global Inputs'!$B$5)</x:f>
        <x:v>1640.4025423728815</x:v>
      </x:c>
      <x:c r="I27" s="28" t="n">
        <x:f>(C27*(1-'Global Inputs'!$B$14)+C28*'Global Inputs'!$B$14)*'Unit Economics'!C6</x:f>
        <x:v>0</x:v>
      </x:c>
      <x:c r="J27" s="28" t="n">
        <x:f>B27*'Unit Economics'!C41</x:f>
        <x:v>3243.0745</x:v>
      </x:c>
      <x:c r="K27" s="28" t="n">
        <x:f>'Global Inputs'!C39*'Unit Economics'!C7</x:f>
        <x:v>26000</x:v>
      </x:c>
      <x:c r="L27" s="28" t="n">
        <x:f>G27-SUM(H27:K27)</x:f>
        <x:v>-7777.2270423728805</x:v>
      </x:c>
      <x:c r="M27" s="28" t="n">
        <x:f>SUM(L21:L27)</x:f>
        <x:v>-564159.8138050849</x:v>
      </x:c>
      <x:c r="N27" s="28" t="n">
        <x:f>SUM(F21:F27)-(SUM(G21:G27)-SUM(E21:E27)+SUM(F21:F27))</x:f>
        <x:v>8235</x:v>
      </x:c>
    </x:row>
    <x:row r="28" ht="23" customHeight="1">
      <x:c r="A28" s="68" t="n">
        <x:f>8</x:f>
        <x:v>8</x:v>
      </x:c>
      <x:c r="B28" s="46" t="n">
        <x:f>ROUND('Unit Economics'!C4*'Global Inputs'!B40,0)</x:f>
        <x:v>13</x:v>
      </x:c>
      <x:c r="C28" s="46" t="n">
        <x:f>0</x:f>
        <x:v>0</x:v>
      </x:c>
      <x:c r="D28" s="46" t="n">
        <x:f>SUM(C21:C28)-SUM(B21:B28)</x:f>
        <x:v>68</x:v>
      </x:c>
      <x:c r="E28" s="28" t="n">
        <x:f>B28*'Unit Economics'!C19</x:f>
        <x:v>5591.95</x:v>
      </x:c>
      <x:c r="F28" s="28" t="n">
        <x:f>B28*'Unit Economics'!C11*'Unit Economics'!C17</x:f>
        <x:v>1070.55</x:v>
      </x:c>
      <x:c r="G28" s="28" t="n">
        <x:f>E28-F28+F26</x:f>
        <x:v>10697.65</x:v>
      </x:c>
      <x:c r="H28" s="28" t="n">
        <x:f>E28*'Global Inputs'!$B$5/(1+'Global Inputs'!$B$5)</x:f>
        <x:v>853.0093220338983</x:v>
      </x:c>
      <x:c r="I28" s="28" t="n">
        <x:f>(C28*(1-'Global Inputs'!$B$14)+C29*'Global Inputs'!$B$14)*'Unit Economics'!C6</x:f>
        <x:v>0</x:v>
      </x:c>
      <x:c r="J28" s="28" t="n">
        <x:f>B28*'Unit Economics'!C41</x:f>
        <x:v>1686.39874</x:v>
      </x:c>
      <x:c r="K28" s="28" t="n">
        <x:f>'Global Inputs'!C40*'Unit Economics'!C7</x:f>
        <x:v>26000</x:v>
      </x:c>
      <x:c r="L28" s="28" t="n">
        <x:f>G28-SUM(H28:K28)</x:f>
        <x:v>-17841.7580620339</x:v>
      </x:c>
      <x:c r="M28" s="28" t="n">
        <x:f>SUM(L21:L28)</x:f>
        <x:v>-582001.5718671188</x:v>
      </x:c>
      <x:c r="N28" s="28" t="n">
        <x:f>SUM(F21:F28)-(SUM(G21:G28)-SUM(E21:E28)+SUM(F21:F28))</x:f>
        <x:v>3129.3000000000175</x:v>
      </x:c>
    </x:row>
    <x:row r="29" ht="23" customHeight="1">
      <x:c r="A29" s="68" t="n">
        <x:f>9</x:f>
        <x:v>9</x:v>
      </x:c>
      <x:c r="B29" s="46" t="n">
        <x:f>'Unit Economics'!C4-SUM(B21:B28)</x:f>
        <x:v>12</x:v>
      </x:c>
      <x:c r="C29" s="46" t="n">
        <x:f>0</x:f>
        <x:v>0</x:v>
      </x:c>
      <x:c r="D29" s="46" t="n">
        <x:f>SUM(C21:C29)-SUM(B21:B29)</x:f>
        <x:v>56</x:v>
      </x:c>
      <x:c r="E29" s="28" t="n">
        <x:f>B29*'Unit Economics'!C19</x:f>
        <x:v>5161.799999999999</x:v>
      </x:c>
      <x:c r="F29" s="28" t="n">
        <x:f>B29*'Unit Economics'!C11*'Unit Economics'!C17</x:f>
        <x:v>988.1999999999999</x:v>
      </x:c>
      <x:c r="G29" s="28" t="n">
        <x:f>E29-F29+F27</x:f>
        <x:v>6232.349999999999</x:v>
      </x:c>
      <x:c r="H29" s="28" t="n">
        <x:f>E29*'Global Inputs'!$B$5/(1+'Global Inputs'!$B$5)</x:f>
        <x:v>787.3932203389829</x:v>
      </x:c>
      <x:c r="I29" s="28" t="n">
        <x:f>(C29*(1-'Global Inputs'!$B$14)+C30*'Global Inputs'!$B$14)*'Unit Economics'!C6</x:f>
        <x:v>0</x:v>
      </x:c>
      <x:c r="J29" s="28" t="n">
        <x:f>B29*'Unit Economics'!C41</x:f>
        <x:v>1556.67576</x:v>
      </x:c>
      <x:c r="K29" s="28" t="n">
        <x:f>'Global Inputs'!C41*'Unit Economics'!C7</x:f>
        <x:v>13000</x:v>
      </x:c>
      <x:c r="L29" s="28" t="n">
        <x:f>G29-SUM(H29:K29)</x:f>
        <x:v>-9111.718980338985</x:v>
      </x:c>
      <x:c r="M29" s="28" t="n">
        <x:f>SUM(L21:L29)</x:f>
        <x:v>-591113.2908474578</x:v>
      </x:c>
      <x:c r="N29" s="28" t="n">
        <x:f>SUM(F21:F29)-(SUM(G21:G29)-SUM(E21:E29)+SUM(F21:F29))</x:f>
        <x:v>2058.75</x:v>
      </x:c>
    </x:row>
    <x:row r="30" ht="23" customHeight="1">
      <x:c r="A30" s="68" t="n">
        <x:f>10</x:f>
        <x:v>10</x:v>
      </x:c>
      <x:c r="B30" s="46" t="n">
        <x:f>ROUND('Unit Economics'!C4*'Global Inputs'!B42,0)</x:f>
        <x:v>0</x:v>
      </x:c>
      <x:c r="C30" s="46" t="n">
        <x:f>0</x:f>
        <x:v>0</x:v>
      </x:c>
      <x:c r="D30" s="46" t="n">
        <x:f>SUM(C21:C30)-SUM(B21:B30)</x:f>
        <x:v>56</x:v>
      </x:c>
      <x:c r="E30" s="28" t="n">
        <x:f>B30*'Unit Economics'!C19</x:f>
        <x:v>0</x:v>
      </x:c>
      <x:c r="F30" s="28" t="n">
        <x:f>B30*'Unit Economics'!C11*'Unit Economics'!C17</x:f>
        <x:v>0</x:v>
      </x:c>
      <x:c r="G30" s="28" t="n">
        <x:f>E30-F30+F28</x:f>
        <x:v>1070.55</x:v>
      </x:c>
      <x:c r="H30" s="28" t="n">
        <x:f>E30*'Global Inputs'!$B$5/(1+'Global Inputs'!$B$5)</x:f>
        <x:v>0</x:v>
      </x:c>
      <x:c r="I30" s="28" t="n">
        <x:f>(C30*(1-'Global Inputs'!$B$14)+C31*'Global Inputs'!$B$14)*'Unit Economics'!C6</x:f>
        <x:v>0</x:v>
      </x:c>
      <x:c r="J30" s="28" t="n">
        <x:f>B30*'Unit Economics'!C41</x:f>
        <x:v>0</x:v>
      </x:c>
      <x:c r="K30" s="28" t="n">
        <x:f>'Global Inputs'!C42*'Unit Economics'!C7</x:f>
        <x:v>13000</x:v>
      </x:c>
      <x:c r="L30" s="28" t="n">
        <x:f>G30-SUM(H30:K30)</x:f>
        <x:v>-11929.45</x:v>
      </x:c>
      <x:c r="M30" s="28" t="n">
        <x:f>SUM(L21:L30)</x:f>
        <x:v>-603042.7408474578</x:v>
      </x:c>
      <x:c r="N30" s="28" t="n">
        <x:f>SUM(F21:F30)-(SUM(G21:G30)-SUM(E21:E30)+SUM(F21:F30))</x:f>
        <x:v>988.2000000000116</x:v>
      </x:c>
    </x:row>
    <x:row r="31" ht="23" customHeight="1">
      <x:c r="A31" s="68" t="n">
        <x:f>11</x:f>
        <x:v>11</x:v>
      </x:c>
      <x:c r="B31" s="46" t="n">
        <x:f>ROUND('Unit Economics'!C4*'Global Inputs'!B43,0)</x:f>
        <x:v>0</x:v>
      </x:c>
      <x:c r="C31" s="46" t="n">
        <x:f>0</x:f>
        <x:v>0</x:v>
      </x:c>
      <x:c r="D31" s="46" t="n">
        <x:f>SUM(C21:C31)-SUM(B21:B31)</x:f>
        <x:v>56</x:v>
      </x:c>
      <x:c r="E31" s="28" t="n">
        <x:f>B31*'Unit Economics'!C19</x:f>
        <x:v>0</x:v>
      </x:c>
      <x:c r="F31" s="28" t="n">
        <x:f>B31*'Unit Economics'!C11*'Unit Economics'!C17</x:f>
        <x:v>0</x:v>
      </x:c>
      <x:c r="G31" s="28" t="n">
        <x:f>E31-F31+F29</x:f>
        <x:v>988.1999999999999</x:v>
      </x:c>
      <x:c r="H31" s="28" t="n">
        <x:f>E31*'Global Inputs'!$B$5/(1+'Global Inputs'!$B$5)</x:f>
        <x:v>0</x:v>
      </x:c>
      <x:c r="I31" s="28" t="n">
        <x:f>(C31*(1-'Global Inputs'!$B$14)+C32*'Global Inputs'!$B$14)*'Unit Economics'!C6</x:f>
        <x:v>0</x:v>
      </x:c>
      <x:c r="J31" s="28" t="n">
        <x:f>B31*'Unit Economics'!C41</x:f>
        <x:v>0</x:v>
      </x:c>
      <x:c r="K31" s="28" t="n">
        <x:f>'Global Inputs'!C43*'Unit Economics'!C7</x:f>
        <x:v>13000</x:v>
      </x:c>
      <x:c r="L31" s="28" t="n">
        <x:f>G31-SUM(H31:K31)</x:f>
        <x:v>-12011.8</x:v>
      </x:c>
      <x:c r="M31" s="28" t="n">
        <x:f>SUM(L21:L31)</x:f>
        <x:v>-615054.5408474578</x:v>
      </x:c>
      <x:c r="N31" s="28" t="n">
        <x:f>SUM(F21:F31)-(SUM(G21:G31)-SUM(E21:E31)+SUM(F21:F31))</x:f>
        <x:v>0</x:v>
      </x:c>
    </x:row>
    <x:row r="32" ht="23" customHeight="1">
      <x:c r="A32" s="68" t="n">
        <x:f>12</x:f>
        <x:v>12</x:v>
      </x:c>
      <x:c r="B32" s="46" t="n">
        <x:f>ROUND('Unit Economics'!C4*'Global Inputs'!B44,0)</x:f>
        <x:v>0</x:v>
      </x:c>
      <x:c r="C32" s="46" t="n">
        <x:f>0</x:f>
        <x:v>0</x:v>
      </x:c>
      <x:c r="D32" s="46" t="n">
        <x:f>SUM(C21:C32)-SUM(B21:B32)</x:f>
        <x:v>56</x:v>
      </x:c>
      <x:c r="E32" s="28" t="n">
        <x:f>B32*'Unit Economics'!C19</x:f>
        <x:v>0</x:v>
      </x:c>
      <x:c r="F32" s="28" t="n">
        <x:f>B32*'Unit Economics'!C11*'Unit Economics'!C17</x:f>
        <x:v>0</x:v>
      </x:c>
      <x:c r="G32" s="28" t="n">
        <x:f>E32-F32+F30</x:f>
        <x:v>0</x:v>
      </x:c>
      <x:c r="H32" s="28" t="n">
        <x:f>E32*'Global Inputs'!$B$5/(1+'Global Inputs'!$B$5)</x:f>
        <x:v>0</x:v>
      </x:c>
      <x:c r="I32" s="28" t="n">
        <x:f>(C32*(1-'Global Inputs'!$B$14))*'Unit Economics'!C6</x:f>
        <x:v>0</x:v>
      </x:c>
      <x:c r="J32" s="28" t="n">
        <x:f>B32*'Unit Economics'!C41</x:f>
        <x:v>0</x:v>
      </x:c>
      <x:c r="K32" s="28" t="n">
        <x:f>'Global Inputs'!C44*'Unit Economics'!C7</x:f>
        <x:v>6500</x:v>
      </x:c>
      <x:c r="L32" s="28" t="n">
        <x:f>G32-SUM(H32:K32)</x:f>
        <x:v>-6500</x:v>
      </x:c>
      <x:c r="M32" s="28" t="n">
        <x:f>SUM(L21:L32)</x:f>
        <x:v>-621554.5408474578</x:v>
      </x:c>
      <x:c r="N32" s="28" t="n">
        <x:f>SUM(F21:F32)-(SUM(G21:G32)-SUM(E21:E32)+SUM(F21:F32))</x:f>
        <x:v>0</x:v>
      </x:c>
    </x:row>
    <x:row r="33" ht="23" customHeight="1">
      <x:c r="A33" s="4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 ht="23" customHeight="1">
      <x:c r="A34" s="4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 ht="30" customHeight="1">
      <x:c r="A35" s="7" t="str">
        <x:v>Optimistic | 500 retained books</x:v>
      </x:c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</x:row>
    <x:row r="36" ht="42" customHeight="1">
      <x:c r="A36" s="14" t="str">
        <x:v>Month</x:v>
      </x:c>
      <x:c r="B36" s="78" t="str">
        <x:v>Retained sales</x:v>
      </x:c>
      <x:c r="C36" s="78" t="str">
        <x:v>Print receipts</x:v>
      </x:c>
      <x:c r="D36" s="78" t="str">
        <x:v>Closing stock</x:v>
      </x:c>
      <x:c r="E36" s="78" t="str">
        <x:v>Gross invoiced</x:v>
      </x:c>
      <x:c r="F36" s="78" t="str">
        <x:v>Trade invoiced</x:v>
      </x:c>
      <x:c r="G36" s="78" t="str">
        <x:v>Cash receipts</x:v>
      </x:c>
      <x:c r="H36" s="78" t="str">
        <x:v>GST reserved</x:v>
      </x:c>
      <x:c r="I36" s="78" t="str">
        <x:v>Printer cash</x:v>
      </x:c>
      <x:c r="J36" s="78" t="str">
        <x:v>Other variable/reserved</x:v>
      </x:c>
      <x:c r="K36" s="78" t="str">
        <x:v>Fixed cash</x:v>
      </x:c>
      <x:c r="L36" s="78" t="str">
        <x:v>Net usable cash</x:v>
      </x:c>
      <x:c r="M36" s="78" t="str">
        <x:v>Cumulative cash</x:v>
      </x:c>
      <x:c r="N36" s="78" t="str">
        <x:v>Trade receivable</x:v>
      </x:c>
    </x:row>
    <x:row r="37" ht="23" customHeight="1">
      <x:c r="A37" s="68" t="n">
        <x:f>1</x:f>
        <x:v>1</x:v>
      </x:c>
      <x:c r="B37" s="46" t="n">
        <x:f>ROUND('Unit Economics'!D4*'Global Inputs'!B33,0)</x:f>
        <x:v>0</x:v>
      </x:c>
      <x:c r="C37" s="46" t="n">
        <x:f>0</x:f>
        <x:v>0</x:v>
      </x:c>
      <x:c r="D37" s="46" t="n">
        <x:f>SUM(C37:C37)-SUM(B37:B37)</x:f>
        <x:v>0</x:v>
      </x:c>
      <x:c r="E37" s="28" t="n">
        <x:f>B37*'Unit Economics'!D19</x:f>
        <x:v>0</x:v>
      </x:c>
      <x:c r="F37" s="28" t="n">
        <x:f>B37*'Unit Economics'!D11*'Unit Economics'!D17</x:f>
        <x:v>0</x:v>
      </x:c>
      <x:c r="G37" s="28" t="n">
        <x:f>E37-F37</x:f>
        <x:v>0</x:v>
      </x:c>
      <x:c r="H37" s="28" t="n">
        <x:f>E37*'Global Inputs'!$B$5/(1+'Global Inputs'!$B$5)</x:f>
        <x:v>0</x:v>
      </x:c>
      <x:c r="I37" s="28" t="n">
        <x:f>(C37*(1-'Global Inputs'!$B$14)+C38*'Global Inputs'!$B$14)*'Unit Economics'!D6</x:f>
        <x:v>13905</x:v>
      </x:c>
      <x:c r="J37" s="28" t="n">
        <x:f>B37*'Unit Economics'!D41</x:f>
        <x:v>0</x:v>
      </x:c>
      <x:c r="K37" s="28" t="n">
        <x:f>'Global Inputs'!C33*'Unit Economics'!D7</x:f>
        <x:v>210000</x:v>
      </x:c>
      <x:c r="L37" s="28" t="n">
        <x:f>G37-SUM(H37:K37)</x:f>
        <x:v>-223905</x:v>
      </x:c>
      <x:c r="M37" s="28" t="n">
        <x:f>SUM(L37:L37)</x:f>
        <x:v>-223905</x:v>
      </x:c>
      <x:c r="N37" s="28" t="n">
        <x:f>SUM(F37:F37)-(SUM(G37:G37)-SUM(E37:E37)+SUM(F37:F37))</x:f>
        <x:v>0</x:v>
      </x:c>
    </x:row>
    <x:row r="38" ht="23" customHeight="1">
      <x:c r="A38" s="68" t="n">
        <x:f>2</x:f>
        <x:v>2</x:v>
      </x:c>
      <x:c r="B38" s="46" t="n">
        <x:f>ROUND('Unit Economics'!D4*'Global Inputs'!B34,0)</x:f>
        <x:v>0</x:v>
      </x:c>
      <x:c r="C38" s="46" t="n">
        <x:f>ROUND('Unit Economics'!D5*'Global Inputs'!$B$15,0)</x:f>
        <x:v>206</x:v>
      </x:c>
      <x:c r="D38" s="46" t="n">
        <x:f>SUM(C37:C38)-SUM(B37:B38)</x:f>
        <x:v>206</x:v>
      </x:c>
      <x:c r="E38" s="28" t="n">
        <x:f>B38*'Unit Economics'!D19</x:f>
        <x:v>0</x:v>
      </x:c>
      <x:c r="F38" s="28" t="n">
        <x:f>B38*'Unit Economics'!D11*'Unit Economics'!D17</x:f>
        <x:v>0</x:v>
      </x:c>
      <x:c r="G38" s="28" t="n">
        <x:f>E38-F38</x:f>
        <x:v>0</x:v>
      </x:c>
      <x:c r="H38" s="28" t="n">
        <x:f>E38*'Global Inputs'!$B$5/(1+'Global Inputs'!$B$5)</x:f>
        <x:v>0</x:v>
      </x:c>
      <x:c r="I38" s="28" t="n">
        <x:f>(C38*(1-'Global Inputs'!$B$14)+C39*'Global Inputs'!$B$14)*'Unit Economics'!D6</x:f>
        <x:v>13905</x:v>
      </x:c>
      <x:c r="J38" s="28" t="n">
        <x:f>B38*'Unit Economics'!D41</x:f>
        <x:v>0</x:v>
      </x:c>
      <x:c r="K38" s="28" t="n">
        <x:f>'Global Inputs'!C34*'Unit Economics'!D7</x:f>
        <x:v>150000</x:v>
      </x:c>
      <x:c r="L38" s="28" t="n">
        <x:f>G38-SUM(H38:K38)</x:f>
        <x:v>-163905</x:v>
      </x:c>
      <x:c r="M38" s="28" t="n">
        <x:f>SUM(L37:L38)</x:f>
        <x:v>-387810</x:v>
      </x:c>
      <x:c r="N38" s="28" t="n">
        <x:f>SUM(F37:F38)-(SUM(G37:G38)-SUM(E37:E38)+SUM(F37:F38))</x:f>
        <x:v>0</x:v>
      </x:c>
    </x:row>
    <x:row r="39" ht="23" customHeight="1">
      <x:c r="A39" s="68" t="n">
        <x:f>3</x:f>
        <x:v>3</x:v>
      </x:c>
      <x:c r="B39" s="46" t="n">
        <x:f>ROUND('Unit Economics'!D4*'Global Inputs'!B35,0)</x:f>
        <x:v>50</x:v>
      </x:c>
      <x:c r="C39" s="46" t="n">
        <x:f>0</x:f>
        <x:v>0</x:v>
      </x:c>
      <x:c r="D39" s="46" t="n">
        <x:f>SUM(C37:C39)-SUM(B37:B39)</x:f>
        <x:v>156</x:v>
      </x:c>
      <x:c r="E39" s="28" t="n">
        <x:f>B39*'Unit Economics'!D19</x:f>
        <x:v>23335.875</x:v>
      </x:c>
      <x:c r="F39" s="28" t="n">
        <x:f>B39*'Unit Economics'!D11*'Unit Economics'!D17</x:f>
        <x:v>2676.375</x:v>
      </x:c>
      <x:c r="G39" s="28" t="n">
        <x:f>E39-F39+F37</x:f>
        <x:v>20659.5</x:v>
      </x:c>
      <x:c r="H39" s="28" t="n">
        <x:f>E39*'Global Inputs'!$B$5/(1+'Global Inputs'!$B$5)</x:f>
        <x:v>3559.7097457627115</x:v>
      </x:c>
      <x:c r="I39" s="28" t="n">
        <x:f>(C39*(1-'Global Inputs'!$B$14)+C40*'Global Inputs'!$B$14)*'Unit Economics'!D6</x:f>
        <x:v>12217.5</x:v>
      </x:c>
      <x:c r="J39" s="28" t="n">
        <x:f>B39*'Unit Economics'!D41</x:f>
        <x:v>5282.492</x:v>
      </x:c>
      <x:c r="K39" s="28" t="n">
        <x:f>'Global Inputs'!C35*'Unit Economics'!D7</x:f>
        <x:v>60000</x:v>
      </x:c>
      <x:c r="L39" s="28" t="n">
        <x:f>G39-SUM(H39:K39)</x:f>
        <x:v>-60400.20174576271</x:v>
      </x:c>
      <x:c r="M39" s="28" t="n">
        <x:f>SUM(L37:L39)</x:f>
        <x:v>-448210.2017457627</x:v>
      </x:c>
      <x:c r="N39" s="28" t="n">
        <x:f>SUM(F37:F39)-(SUM(G37:G39)-SUM(E37:E39)+SUM(F37:F39))</x:f>
        <x:v>2676.375</x:v>
      </x:c>
    </x:row>
    <x:row r="40" ht="23" customHeight="1">
      <x:c r="A40" s="68" t="n">
        <x:f>4</x:f>
        <x:v>4</x:v>
      </x:c>
      <x:c r="B40" s="46" t="n">
        <x:f>ROUND('Unit Economics'!D4*'Global Inputs'!B36,0)</x:f>
        <x:v>150</x:v>
      </x:c>
      <x:c r="C40" s="46" t="n">
        <x:f>ROUND('Unit Economics'!D5*'Global Inputs'!$B$16,0)</x:f>
        <x:v>181</x:v>
      </x:c>
      <x:c r="D40" s="46" t="n">
        <x:f>SUM(C37:C40)-SUM(B37:B40)</x:f>
        <x:v>187</x:v>
      </x:c>
      <x:c r="E40" s="28" t="n">
        <x:f>B40*'Unit Economics'!D19</x:f>
        <x:v>70007.625</x:v>
      </x:c>
      <x:c r="F40" s="28" t="n">
        <x:f>B40*'Unit Economics'!D11*'Unit Economics'!D17</x:f>
        <x:v>8029.125000000001</x:v>
      </x:c>
      <x:c r="G40" s="28" t="n">
        <x:f>E40-F40+F38</x:f>
        <x:v>61978.5</x:v>
      </x:c>
      <x:c r="H40" s="28" t="n">
        <x:f>E40*'Global Inputs'!$B$5/(1+'Global Inputs'!$B$5)</x:f>
        <x:v>10679.129237288136</x:v>
      </x:c>
      <x:c r="I40" s="28" t="n">
        <x:f>(C40*(1-'Global Inputs'!$B$14)+C41*'Global Inputs'!$B$14)*'Unit Economics'!D6</x:f>
        <x:v>20925</x:v>
      </x:c>
      <x:c r="J40" s="28" t="n">
        <x:f>B40*'Unit Economics'!D41</x:f>
        <x:v>15847.475999999999</x:v>
      </x:c>
      <x:c r="K40" s="28" t="n">
        <x:f>'Global Inputs'!C36*'Unit Economics'!D7</x:f>
        <x:v>30000</x:v>
      </x:c>
      <x:c r="L40" s="28" t="n">
        <x:f>G40-SUM(H40:K40)</x:f>
        <x:v>-15473.105237288139</x:v>
      </x:c>
      <x:c r="M40" s="28" t="n">
        <x:f>SUM(L37:L40)</x:f>
        <x:v>-463683.3069830509</x:v>
      </x:c>
      <x:c r="N40" s="28" t="n">
        <x:f>SUM(F37:F40)-(SUM(G37:G40)-SUM(E37:E40)+SUM(F37:F40))</x:f>
        <x:v>10705.5</x:v>
      </x:c>
    </x:row>
    <x:row r="41" ht="23" customHeight="1">
      <x:c r="A41" s="68" t="n">
        <x:f>5</x:f>
        <x:v>5</x:v>
      </x:c>
      <x:c r="B41" s="46" t="n">
        <x:f>ROUND('Unit Economics'!D4*'Global Inputs'!B37,0)</x:f>
        <x:v>175</x:v>
      </x:c>
      <x:c r="C41" s="46" t="n">
        <x:f>'Unit Economics'!D5-SUM(C37:C40)</x:f>
        <x:v>129</x:v>
      </x:c>
      <x:c r="D41" s="46" t="n">
        <x:f>SUM(C37:C41)-SUM(B37:B41)</x:f>
        <x:v>141</x:v>
      </x:c>
      <x:c r="E41" s="28" t="n">
        <x:f>B41*'Unit Economics'!D19</x:f>
        <x:v>81675.5625</x:v>
      </x:c>
      <x:c r="F41" s="28" t="n">
        <x:f>B41*'Unit Economics'!D11*'Unit Economics'!D17</x:f>
        <x:v>9367.3125</x:v>
      </x:c>
      <x:c r="G41" s="28" t="n">
        <x:f>E41-F41+F39</x:f>
        <x:v>74984.625</x:v>
      </x:c>
      <x:c r="H41" s="28" t="n">
        <x:f>E41*'Global Inputs'!$B$5/(1+'Global Inputs'!$B$5)</x:f>
        <x:v>12458.984110169491</x:v>
      </x:c>
      <x:c r="I41" s="28" t="n">
        <x:f>(C41*(1-'Global Inputs'!$B$14)+C42*'Global Inputs'!$B$14)*'Unit Economics'!D6</x:f>
        <x:v>8707.5</x:v>
      </x:c>
      <x:c r="J41" s="28" t="n">
        <x:f>B41*'Unit Economics'!D41</x:f>
        <x:v>18488.721999999998</x:v>
      </x:c>
      <x:c r="K41" s="28" t="n">
        <x:f>'Global Inputs'!C37*'Unit Economics'!D7</x:f>
        <x:v>30000</x:v>
      </x:c>
      <x:c r="L41" s="28" t="n">
        <x:f>G41-SUM(H41:K41)</x:f>
        <x:v>5329.418889830515</x:v>
      </x:c>
      <x:c r="M41" s="28" t="n">
        <x:f>SUM(L37:L41)</x:f>
        <x:v>-458353.88809322036</x:v>
      </x:c>
      <x:c r="N41" s="28" t="n">
        <x:f>SUM(F37:F41)-(SUM(G37:G41)-SUM(E37:E41)+SUM(F37:F41))</x:f>
        <x:v>17396.4375</x:v>
      </x:c>
    </x:row>
    <x:row r="42" ht="23" customHeight="1">
      <x:c r="A42" s="68" t="n">
        <x:f>6</x:f>
        <x:v>6</x:v>
      </x:c>
      <x:c r="B42" s="46" t="n">
        <x:f>ROUND('Unit Economics'!D4*'Global Inputs'!B38,0)</x:f>
        <x:v>75</x:v>
      </x:c>
      <x:c r="C42" s="46" t="n">
        <x:f>0</x:f>
        <x:v>0</x:v>
      </x:c>
      <x:c r="D42" s="46" t="n">
        <x:f>SUM(C37:C42)-SUM(B37:B42)</x:f>
        <x:v>66</x:v>
      </x:c>
      <x:c r="E42" s="28" t="n">
        <x:f>B42*'Unit Economics'!D19</x:f>
        <x:v>35003.8125</x:v>
      </x:c>
      <x:c r="F42" s="28" t="n">
        <x:f>B42*'Unit Economics'!D11*'Unit Economics'!D17</x:f>
        <x:v>4014.5625000000005</x:v>
      </x:c>
      <x:c r="G42" s="28" t="n">
        <x:f>E42-F42+F40</x:f>
        <x:v>39018.375</x:v>
      </x:c>
      <x:c r="H42" s="28" t="n">
        <x:f>E42*'Global Inputs'!$B$5/(1+'Global Inputs'!$B$5)</x:f>
        <x:v>5339.564618644068</x:v>
      </x:c>
      <x:c r="I42" s="28" t="n">
        <x:f>(C42*(1-'Global Inputs'!$B$14)+C43*'Global Inputs'!$B$14)*'Unit Economics'!D6</x:f>
        <x:v>0</x:v>
      </x:c>
      <x:c r="J42" s="28" t="n">
        <x:f>B42*'Unit Economics'!D41</x:f>
        <x:v>7923.737999999999</x:v>
      </x:c>
      <x:c r="K42" s="28" t="n">
        <x:f>'Global Inputs'!C38*'Unit Economics'!D7</x:f>
        <x:v>30000</x:v>
      </x:c>
      <x:c r="L42" s="28" t="n">
        <x:f>G42-SUM(H42:K42)</x:f>
        <x:v>-4244.927618644069</x:v>
      </x:c>
      <x:c r="M42" s="28" t="n">
        <x:f>SUM(L37:L42)</x:f>
        <x:v>-462598.81571186444</x:v>
      </x:c>
      <x:c r="N42" s="28" t="n">
        <x:f>SUM(F37:F42)-(SUM(G37:G42)-SUM(E37:E42)+SUM(F37:F42))</x:f>
        <x:v>13381.875</x:v>
      </x:c>
    </x:row>
    <x:row r="43" ht="23" customHeight="1">
      <x:c r="A43" s="68" t="n">
        <x:f>7</x:f>
        <x:v>7</x:v>
      </x:c>
      <x:c r="B43" s="46" t="n">
        <x:f>ROUND('Unit Economics'!D4*'Global Inputs'!B39,0)</x:f>
        <x:v>25</x:v>
      </x:c>
      <x:c r="C43" s="46" t="n">
        <x:f>0</x:f>
        <x:v>0</x:v>
      </x:c>
      <x:c r="D43" s="46" t="n">
        <x:f>SUM(C37:C43)-SUM(B37:B43)</x:f>
        <x:v>41</x:v>
      </x:c>
      <x:c r="E43" s="28" t="n">
        <x:f>B43*'Unit Economics'!D19</x:f>
        <x:v>11667.9375</x:v>
      </x:c>
      <x:c r="F43" s="28" t="n">
        <x:f>B43*'Unit Economics'!D11*'Unit Economics'!D17</x:f>
        <x:v>1338.1875</x:v>
      </x:c>
      <x:c r="G43" s="28" t="n">
        <x:f>E43-F43+F41</x:f>
        <x:v>19697.0625</x:v>
      </x:c>
      <x:c r="H43" s="28" t="n">
        <x:f>E43*'Global Inputs'!$B$5/(1+'Global Inputs'!$B$5)</x:f>
        <x:v>1779.8548728813557</x:v>
      </x:c>
      <x:c r="I43" s="28" t="n">
        <x:f>(C43*(1-'Global Inputs'!$B$14)+C44*'Global Inputs'!$B$14)*'Unit Economics'!D6</x:f>
        <x:v>0</x:v>
      </x:c>
      <x:c r="J43" s="28" t="n">
        <x:f>B43*'Unit Economics'!D41</x:f>
        <x:v>2641.246</x:v>
      </x:c>
      <x:c r="K43" s="28" t="n">
        <x:f>'Global Inputs'!C39*'Unit Economics'!D7</x:f>
        <x:v>24000</x:v>
      </x:c>
      <x:c r="L43" s="28" t="n">
        <x:f>G43-SUM(H43:K43)</x:f>
        <x:v>-8724.038372881354</x:v>
      </x:c>
      <x:c r="M43" s="28" t="n">
        <x:f>SUM(L37:L43)</x:f>
        <x:v>-471322.8540847458</x:v>
      </x:c>
      <x:c r="N43" s="28" t="n">
        <x:f>SUM(F37:F43)-(SUM(G37:G43)-SUM(E37:E43)+SUM(F37:F43))</x:f>
        <x:v>5352.75</x:v>
      </x:c>
    </x:row>
    <x:row r="44" ht="23" customHeight="1">
      <x:c r="A44" s="68" t="n">
        <x:f>8</x:f>
        <x:v>8</x:v>
      </x:c>
      <x:c r="B44" s="46" t="n">
        <x:f>ROUND('Unit Economics'!D4*'Global Inputs'!B40,0)</x:f>
        <x:v>13</x:v>
      </x:c>
      <x:c r="C44" s="46" t="n">
        <x:f>0</x:f>
        <x:v>0</x:v>
      </x:c>
      <x:c r="D44" s="46" t="n">
        <x:f>SUM(C37:C44)-SUM(B37:B44)</x:f>
        <x:v>28</x:v>
      </x:c>
      <x:c r="E44" s="28" t="n">
        <x:f>B44*'Unit Economics'!D19</x:f>
        <x:v>6067.3275</x:v>
      </x:c>
      <x:c r="F44" s="28" t="n">
        <x:f>B44*'Unit Economics'!D11*'Unit Economics'!D17</x:f>
        <x:v>695.8575000000001</x:v>
      </x:c>
      <x:c r="G44" s="28" t="n">
        <x:f>E44-F44+F42</x:f>
        <x:v>9386.032500000001</x:v>
      </x:c>
      <x:c r="H44" s="28" t="n">
        <x:f>E44*'Global Inputs'!$B$5/(1+'Global Inputs'!$B$5)</x:f>
        <x:v>925.5245338983052</x:v>
      </x:c>
      <x:c r="I44" s="28" t="n">
        <x:f>(C44*(1-'Global Inputs'!$B$14)+C45*'Global Inputs'!$B$14)*'Unit Economics'!D6</x:f>
        <x:v>0</x:v>
      </x:c>
      <x:c r="J44" s="28" t="n">
        <x:f>B44*'Unit Economics'!D41</x:f>
        <x:v>1373.44792</x:v>
      </x:c>
      <x:c r="K44" s="28" t="n">
        <x:f>'Global Inputs'!C40*'Unit Economics'!D7</x:f>
        <x:v>24000</x:v>
      </x:c>
      <x:c r="L44" s="28" t="n">
        <x:f>G44-SUM(H44:K44)</x:f>
        <x:v>-16912.939953898305</x:v>
      </x:c>
      <x:c r="M44" s="28" t="n">
        <x:f>SUM(L37:L44)</x:f>
        <x:v>-488235.7940386441</x:v>
      </x:c>
      <x:c r="N44" s="28" t="n">
        <x:f>SUM(F37:F44)-(SUM(G37:G44)-SUM(E37:E44)+SUM(F37:F44))</x:f>
        <x:v>2034.0450000000128</x:v>
      </x:c>
    </x:row>
    <x:row r="45" ht="23" customHeight="1">
      <x:c r="A45" s="68" t="n">
        <x:f>9</x:f>
        <x:v>9</x:v>
      </x:c>
      <x:c r="B45" s="46" t="n">
        <x:f>'Unit Economics'!D4-SUM(B37:B44)</x:f>
        <x:v>12</x:v>
      </x:c>
      <x:c r="C45" s="46" t="n">
        <x:f>0</x:f>
        <x:v>0</x:v>
      </x:c>
      <x:c r="D45" s="46" t="n">
        <x:f>SUM(C37:C45)-SUM(B37:B45)</x:f>
        <x:v>16</x:v>
      </x:c>
      <x:c r="E45" s="28" t="n">
        <x:f>B45*'Unit Economics'!D19</x:f>
        <x:v>5600.610000000001</x:v>
      </x:c>
      <x:c r="F45" s="28" t="n">
        <x:f>B45*'Unit Economics'!D11*'Unit Economics'!D17</x:f>
        <x:v>642.3299999999999</x:v>
      </x:c>
      <x:c r="G45" s="28" t="n">
        <x:f>E45-F45+F43</x:f>
        <x:v>6296.467500000001</x:v>
      </x:c>
      <x:c r="H45" s="28" t="n">
        <x:f>E45*'Global Inputs'!$B$5/(1+'Global Inputs'!$B$5)</x:f>
        <x:v>854.330338983051</x:v>
      </x:c>
      <x:c r="I45" s="28" t="n">
        <x:f>(C45*(1-'Global Inputs'!$B$14)+C46*'Global Inputs'!$B$14)*'Unit Economics'!D6</x:f>
        <x:v>0</x:v>
      </x:c>
      <x:c r="J45" s="28" t="n">
        <x:f>B45*'Unit Economics'!D41</x:f>
        <x:v>1267.79808</x:v>
      </x:c>
      <x:c r="K45" s="28" t="n">
        <x:f>'Global Inputs'!C41*'Unit Economics'!D7</x:f>
        <x:v>12000</x:v>
      </x:c>
      <x:c r="L45" s="28" t="n">
        <x:f>G45-SUM(H45:K45)</x:f>
        <x:v>-7825.660918983051</x:v>
      </x:c>
      <x:c r="M45" s="28" t="n">
        <x:f>SUM(L37:L45)</x:f>
        <x:v>-496061.45495762717</x:v>
      </x:c>
      <x:c r="N45" s="28" t="n">
        <x:f>SUM(F37:F45)-(SUM(G37:G45)-SUM(E37:E45)+SUM(F37:F45))</x:f>
        <x:v>1338.1875</x:v>
      </x:c>
    </x:row>
    <x:row r="46" ht="23" customHeight="1">
      <x:c r="A46" s="68" t="n">
        <x:f>10</x:f>
        <x:v>10</x:v>
      </x:c>
      <x:c r="B46" s="46" t="n">
        <x:f>ROUND('Unit Economics'!D4*'Global Inputs'!B42,0)</x:f>
        <x:v>0</x:v>
      </x:c>
      <x:c r="C46" s="46" t="n">
        <x:f>0</x:f>
        <x:v>0</x:v>
      </x:c>
      <x:c r="D46" s="46" t="n">
        <x:f>SUM(C37:C46)-SUM(B37:B46)</x:f>
        <x:v>16</x:v>
      </x:c>
      <x:c r="E46" s="28" t="n">
        <x:f>B46*'Unit Economics'!D19</x:f>
        <x:v>0</x:v>
      </x:c>
      <x:c r="F46" s="28" t="n">
        <x:f>B46*'Unit Economics'!D11*'Unit Economics'!D17</x:f>
        <x:v>0</x:v>
      </x:c>
      <x:c r="G46" s="28" t="n">
        <x:f>E46-F46+F44</x:f>
        <x:v>695.8575000000001</x:v>
      </x:c>
      <x:c r="H46" s="28" t="n">
        <x:f>E46*'Global Inputs'!$B$5/(1+'Global Inputs'!$B$5)</x:f>
        <x:v>0</x:v>
      </x:c>
      <x:c r="I46" s="28" t="n">
        <x:f>(C46*(1-'Global Inputs'!$B$14)+C47*'Global Inputs'!$B$14)*'Unit Economics'!D6</x:f>
        <x:v>0</x:v>
      </x:c>
      <x:c r="J46" s="28" t="n">
        <x:f>B46*'Unit Economics'!D41</x:f>
        <x:v>0</x:v>
      </x:c>
      <x:c r="K46" s="28" t="n">
        <x:f>'Global Inputs'!C42*'Unit Economics'!D7</x:f>
        <x:v>12000</x:v>
      </x:c>
      <x:c r="L46" s="28" t="n">
        <x:f>G46-SUM(H46:K46)</x:f>
        <x:v>-11304.1425</x:v>
      </x:c>
      <x:c r="M46" s="28" t="n">
        <x:f>SUM(L37:L46)</x:f>
        <x:v>-507365.5974576272</x:v>
      </x:c>
      <x:c r="N46" s="28" t="n">
        <x:f>SUM(F37:F46)-(SUM(G37:G46)-SUM(E37:E46)+SUM(F37:F46))</x:f>
        <x:v>642.3299999999872</x:v>
      </x:c>
    </x:row>
    <x:row r="47" ht="23" customHeight="1">
      <x:c r="A47" s="68" t="n">
        <x:f>11</x:f>
        <x:v>11</x:v>
      </x:c>
      <x:c r="B47" s="46" t="n">
        <x:f>ROUND('Unit Economics'!D4*'Global Inputs'!B43,0)</x:f>
        <x:v>0</x:v>
      </x:c>
      <x:c r="C47" s="46" t="n">
        <x:f>0</x:f>
        <x:v>0</x:v>
      </x:c>
      <x:c r="D47" s="46" t="n">
        <x:f>SUM(C37:C47)-SUM(B37:B47)</x:f>
        <x:v>16</x:v>
      </x:c>
      <x:c r="E47" s="28" t="n">
        <x:f>B47*'Unit Economics'!D19</x:f>
        <x:v>0</x:v>
      </x:c>
      <x:c r="F47" s="28" t="n">
        <x:f>B47*'Unit Economics'!D11*'Unit Economics'!D17</x:f>
        <x:v>0</x:v>
      </x:c>
      <x:c r="G47" s="28" t="n">
        <x:f>E47-F47+F45</x:f>
        <x:v>642.3299999999999</x:v>
      </x:c>
      <x:c r="H47" s="28" t="n">
        <x:f>E47*'Global Inputs'!$B$5/(1+'Global Inputs'!$B$5)</x:f>
        <x:v>0</x:v>
      </x:c>
      <x:c r="I47" s="28" t="n">
        <x:f>(C47*(1-'Global Inputs'!$B$14)+C48*'Global Inputs'!$B$14)*'Unit Economics'!D6</x:f>
        <x:v>0</x:v>
      </x:c>
      <x:c r="J47" s="28" t="n">
        <x:f>B47*'Unit Economics'!D41</x:f>
        <x:v>0</x:v>
      </x:c>
      <x:c r="K47" s="28" t="n">
        <x:f>'Global Inputs'!C43*'Unit Economics'!D7</x:f>
        <x:v>12000</x:v>
      </x:c>
      <x:c r="L47" s="28" t="n">
        <x:f>G47-SUM(H47:K47)</x:f>
        <x:v>-11357.67</x:v>
      </x:c>
      <x:c r="M47" s="28" t="n">
        <x:f>SUM(L37:L47)</x:f>
        <x:v>-518723.26745762717</x:v>
      </x:c>
      <x:c r="N47" s="28" t="n">
        <x:f>SUM(F37:F47)-(SUM(G37:G47)-SUM(E37:E47)+SUM(F37:F47))</x:f>
        <x:v>0</x:v>
      </x:c>
    </x:row>
    <x:row r="48" ht="23" customHeight="1">
      <x:c r="A48" s="68" t="n">
        <x:f>12</x:f>
        <x:v>12</x:v>
      </x:c>
      <x:c r="B48" s="46" t="n">
        <x:f>ROUND('Unit Economics'!D4*'Global Inputs'!B44,0)</x:f>
        <x:v>0</x:v>
      </x:c>
      <x:c r="C48" s="46" t="n">
        <x:f>0</x:f>
        <x:v>0</x:v>
      </x:c>
      <x:c r="D48" s="46" t="n">
        <x:f>SUM(C37:C48)-SUM(B37:B48)</x:f>
        <x:v>16</x:v>
      </x:c>
      <x:c r="E48" s="28" t="n">
        <x:f>B48*'Unit Economics'!D19</x:f>
        <x:v>0</x:v>
      </x:c>
      <x:c r="F48" s="28" t="n">
        <x:f>B48*'Unit Economics'!D11*'Unit Economics'!D17</x:f>
        <x:v>0</x:v>
      </x:c>
      <x:c r="G48" s="28" t="n">
        <x:f>E48-F48+F46</x:f>
        <x:v>0</x:v>
      </x:c>
      <x:c r="H48" s="28" t="n">
        <x:f>E48*'Global Inputs'!$B$5/(1+'Global Inputs'!$B$5)</x:f>
        <x:v>0</x:v>
      </x:c>
      <x:c r="I48" s="28" t="n">
        <x:f>(C48*(1-'Global Inputs'!$B$14))*'Unit Economics'!D6</x:f>
        <x:v>0</x:v>
      </x:c>
      <x:c r="J48" s="28" t="n">
        <x:f>B48*'Unit Economics'!D41</x:f>
        <x:v>0</x:v>
      </x:c>
      <x:c r="K48" s="28" t="n">
        <x:f>'Global Inputs'!C44*'Unit Economics'!D7</x:f>
        <x:v>6000</x:v>
      </x:c>
      <x:c r="L48" s="28" t="n">
        <x:f>G48-SUM(H48:K48)</x:f>
        <x:v>-6000</x:v>
      </x:c>
      <x:c r="M48" s="28" t="n">
        <x:f>SUM(L37:L48)</x:f>
        <x:v>-524723.2674576272</x:v>
      </x:c>
      <x:c r="N48" s="28" t="n">
        <x:f>SUM(F37:F48)-(SUM(G37:G48)-SUM(E37:E48)+SUM(F37:F48))</x:f>
        <x:v>0</x:v>
      </x:c>
    </x:row>
    <x:row r="49" ht="23" customHeight="1">
      <x:c r="A49" s="4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</x:row>
    <x:row r="50" ht="23" customHeight="1">
      <x:c r="A50" s="4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</x:row>
    <x:row r="51" ht="30" customHeight="1">
      <x:c r="A51" s="7" t="str">
        <x:v>Conservative | 5,000 retained books</x:v>
      </x:c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</x:row>
    <x:row r="52" ht="42" customHeight="1">
      <x:c r="A52" s="14" t="str">
        <x:v>Month</x:v>
      </x:c>
      <x:c r="B52" s="78" t="str">
        <x:v>Retained sales</x:v>
      </x:c>
      <x:c r="C52" s="78" t="str">
        <x:v>Print receipts</x:v>
      </x:c>
      <x:c r="D52" s="78" t="str">
        <x:v>Closing stock</x:v>
      </x:c>
      <x:c r="E52" s="78" t="str">
        <x:v>Gross invoiced</x:v>
      </x:c>
      <x:c r="F52" s="78" t="str">
        <x:v>Trade invoiced</x:v>
      </x:c>
      <x:c r="G52" s="78" t="str">
        <x:v>Cash receipts</x:v>
      </x:c>
      <x:c r="H52" s="78" t="str">
        <x:v>GST reserved</x:v>
      </x:c>
      <x:c r="I52" s="78" t="str">
        <x:v>Printer cash</x:v>
      </x:c>
      <x:c r="J52" s="78" t="str">
        <x:v>Other variable/reserved</x:v>
      </x:c>
      <x:c r="K52" s="78" t="str">
        <x:v>Fixed cash</x:v>
      </x:c>
      <x:c r="L52" s="78" t="str">
        <x:v>Net usable cash</x:v>
      </x:c>
      <x:c r="M52" s="78" t="str">
        <x:v>Cumulative cash</x:v>
      </x:c>
      <x:c r="N52" s="78" t="str">
        <x:v>Trade receivable</x:v>
      </x:c>
    </x:row>
    <x:row r="53" ht="23" customHeight="1">
      <x:c r="A53" s="68" t="n">
        <x:f>1</x:f>
        <x:v>1</x:v>
      </x:c>
      <x:c r="B53" s="46" t="n">
        <x:f>ROUND('Unit Economics'!E4*'Global Inputs'!B33,0)</x:f>
        <x:v>0</x:v>
      </x:c>
      <x:c r="C53" s="46" t="n">
        <x:f>0</x:f>
        <x:v>0</x:v>
      </x:c>
      <x:c r="D53" s="46" t="n">
        <x:f>SUM(C53:C53)-SUM(B53:B53)</x:f>
        <x:v>0</x:v>
      </x:c>
      <x:c r="E53" s="28" t="n">
        <x:f>B53*'Unit Economics'!E19</x:f>
        <x:v>0</x:v>
      </x:c>
      <x:c r="F53" s="28" t="n">
        <x:f>B53*'Unit Economics'!E11*'Unit Economics'!E17</x:f>
        <x:v>0</x:v>
      </x:c>
      <x:c r="G53" s="28" t="n">
        <x:f>E53-F53</x:f>
        <x:v>0</x:v>
      </x:c>
      <x:c r="H53" s="28" t="n">
        <x:f>E53*'Global Inputs'!$B$5/(1+'Global Inputs'!$B$5)</x:f>
        <x:v>0</x:v>
      </x:c>
      <x:c r="I53" s="28" t="n">
        <x:f>(C53*(1-'Global Inputs'!$B$14)+C54*'Global Inputs'!$B$14)*'Unit Economics'!E6</x:f>
        <x:v>166687.5</x:v>
      </x:c>
      <x:c r="J53" s="28" t="n">
        <x:f>B53*'Unit Economics'!E41</x:f>
        <x:v>0</x:v>
      </x:c>
      <x:c r="K53" s="28" t="n">
        <x:f>'Global Inputs'!C33*'Unit Economics'!E7</x:f>
        <x:v>525000</x:v>
      </x:c>
      <x:c r="L53" s="28" t="n">
        <x:f>G53-SUM(H53:K53)</x:f>
        <x:v>-691687.5</x:v>
      </x:c>
      <x:c r="M53" s="28" t="n">
        <x:f>SUM(L53:L53)</x:f>
        <x:v>-691687.5</x:v>
      </x:c>
      <x:c r="N53" s="28" t="n">
        <x:f>SUM(F53:F53)-(SUM(G53:G53)-SUM(E53:E53)+SUM(F53:F53))</x:f>
        <x:v>0</x:v>
      </x:c>
    </x:row>
    <x:row r="54" ht="23" customHeight="1">
      <x:c r="A54" s="68" t="n">
        <x:f>2</x:f>
        <x:v>2</x:v>
      </x:c>
      <x:c r="B54" s="46" t="n">
        <x:f>ROUND('Unit Economics'!E4*'Global Inputs'!B34,0)</x:f>
        <x:v>0</x:v>
      </x:c>
      <x:c r="C54" s="46" t="n">
        <x:f>ROUND('Unit Economics'!E5*'Global Inputs'!$B$15,0)</x:f>
        <x:v>2667</x:v>
      </x:c>
      <x:c r="D54" s="46" t="n">
        <x:f>SUM(C53:C54)-SUM(B53:B54)</x:f>
        <x:v>2667</x:v>
      </x:c>
      <x:c r="E54" s="28" t="n">
        <x:f>B54*'Unit Economics'!E19</x:f>
        <x:v>0</x:v>
      </x:c>
      <x:c r="F54" s="28" t="n">
        <x:f>B54*'Unit Economics'!E11*'Unit Economics'!E17</x:f>
        <x:v>0</x:v>
      </x:c>
      <x:c r="G54" s="28" t="n">
        <x:f>E54-F54</x:f>
        <x:v>0</x:v>
      </x:c>
      <x:c r="H54" s="28" t="n">
        <x:f>E54*'Global Inputs'!$B$5/(1+'Global Inputs'!$B$5)</x:f>
        <x:v>0</x:v>
      </x:c>
      <x:c r="I54" s="28" t="n">
        <x:f>(C54*(1-'Global Inputs'!$B$14)+C55*'Global Inputs'!$B$14)*'Unit Economics'!E6</x:f>
        <x:v>166687.5</x:v>
      </x:c>
      <x:c r="J54" s="28" t="n">
        <x:f>B54*'Unit Economics'!E41</x:f>
        <x:v>0</x:v>
      </x:c>
      <x:c r="K54" s="28" t="n">
        <x:f>'Global Inputs'!C34*'Unit Economics'!E7</x:f>
        <x:v>375000</x:v>
      </x:c>
      <x:c r="L54" s="28" t="n">
        <x:f>G54-SUM(H54:K54)</x:f>
        <x:v>-541687.5</x:v>
      </x:c>
      <x:c r="M54" s="28" t="n">
        <x:f>SUM(L53:L54)</x:f>
        <x:v>-1233375</x:v>
      </x:c>
      <x:c r="N54" s="28" t="n">
        <x:f>SUM(F53:F54)-(SUM(G53:G54)-SUM(E53:E54)+SUM(F53:F54))</x:f>
        <x:v>0</x:v>
      </x:c>
    </x:row>
    <x:row r="55" ht="23" customHeight="1">
      <x:c r="A55" s="68" t="n">
        <x:f>3</x:f>
        <x:v>3</x:v>
      </x:c>
      <x:c r="B55" s="46" t="n">
        <x:f>ROUND('Unit Economics'!E4*'Global Inputs'!B35,0)</x:f>
        <x:v>500</x:v>
      </x:c>
      <x:c r="C55" s="46" t="n">
        <x:f>0</x:f>
        <x:v>0</x:v>
      </x:c>
      <x:c r="D55" s="46" t="n">
        <x:f>SUM(C53:C55)-SUM(B53:B55)</x:f>
        <x:v>2167</x:v>
      </x:c>
      <x:c r="E55" s="28" t="n">
        <x:f>B55*'Unit Economics'!E19</x:f>
        <x:v>189296.25</x:v>
      </x:c>
      <x:c r="F55" s="28" t="n">
        <x:f>B55*'Unit Economics'!E11*'Unit Economics'!E17</x:f>
        <x:v>52841.25000000001</x:v>
      </x:c>
      <x:c r="G55" s="28" t="n">
        <x:f>E55-F55+F53</x:f>
        <x:v>136455</x:v>
      </x:c>
      <x:c r="H55" s="28" t="n">
        <x:f>E55*'Global Inputs'!$B$5/(1+'Global Inputs'!$B$5)</x:f>
        <x:v>28875.699152542373</x:v>
      </x:c>
      <x:c r="I55" s="28" t="n">
        <x:f>(C55*(1-'Global Inputs'!$B$14)+C56*'Global Inputs'!$B$14)*'Unit Economics'!E6</x:f>
        <x:v>145812.5</x:v>
      </x:c>
      <x:c r="J55" s="28" t="n">
        <x:f>B55*'Unit Economics'!E41</x:f>
        <x:v>82938.66</x:v>
      </x:c>
      <x:c r="K55" s="28" t="n">
        <x:f>'Global Inputs'!C35*'Unit Economics'!E7</x:f>
        <x:v>150000</x:v>
      </x:c>
      <x:c r="L55" s="28" t="n">
        <x:f>G55-SUM(H55:K55)</x:f>
        <x:v>-271171.85915254237</x:v>
      </x:c>
      <x:c r="M55" s="28" t="n">
        <x:f>SUM(L53:L55)</x:f>
        <x:v>-1504546.8591525424</x:v>
      </x:c>
      <x:c r="N55" s="28" t="n">
        <x:f>SUM(F53:F55)-(SUM(G53:G55)-SUM(E53:E55)+SUM(F53:F55))</x:f>
        <x:v>52841.25</x:v>
      </x:c>
    </x:row>
    <x:row r="56" ht="23" customHeight="1">
      <x:c r="A56" s="68" t="n">
        <x:f>4</x:f>
        <x:v>4</x:v>
      </x:c>
      <x:c r="B56" s="46" t="n">
        <x:f>ROUND('Unit Economics'!E4*'Global Inputs'!B36,0)</x:f>
        <x:v>1500</x:v>
      </x:c>
      <x:c r="C56" s="46" t="n">
        <x:f>ROUND('Unit Economics'!E5*'Global Inputs'!$B$16,0)</x:f>
        <x:v>2333</x:v>
      </x:c>
      <x:c r="D56" s="46" t="n">
        <x:f>SUM(C53:C56)-SUM(B53:B56)</x:f>
        <x:v>3000</x:v>
      </x:c>
      <x:c r="E56" s="28" t="n">
        <x:f>B56*'Unit Economics'!E19</x:f>
        <x:v>567888.75</x:v>
      </x:c>
      <x:c r="F56" s="28" t="n">
        <x:f>B56*'Unit Economics'!E11*'Unit Economics'!E17</x:f>
        <x:v>158523.75000000003</x:v>
      </x:c>
      <x:c r="G56" s="28" t="n">
        <x:f>E56-F56+F54</x:f>
        <x:v>409365</x:v>
      </x:c>
      <x:c r="H56" s="28" t="n">
        <x:f>E56*'Global Inputs'!$B$5/(1+'Global Inputs'!$B$5)</x:f>
        <x:v>86627.09745762711</x:v>
      </x:c>
      <x:c r="I56" s="28" t="n">
        <x:f>(C56*(1-'Global Inputs'!$B$14)+C57*'Global Inputs'!$B$14)*'Unit Economics'!E6</x:f>
        <x:v>250000</x:v>
      </x:c>
      <x:c r="J56" s="28" t="n">
        <x:f>B56*'Unit Economics'!E41</x:f>
        <x:v>248815.98</x:v>
      </x:c>
      <x:c r="K56" s="28" t="n">
        <x:f>'Global Inputs'!C36*'Unit Economics'!E7</x:f>
        <x:v>75000</x:v>
      </x:c>
      <x:c r="L56" s="28" t="n">
        <x:f>G56-SUM(H56:K56)</x:f>
        <x:v>-251078.07745762717</x:v>
      </x:c>
      <x:c r="M56" s="28" t="n">
        <x:f>SUM(L53:L56)</x:f>
        <x:v>-1755624.9366101697</x:v>
      </x:c>
      <x:c r="N56" s="28" t="n">
        <x:f>SUM(F53:F56)-(SUM(G53:G56)-SUM(E53:E56)+SUM(F53:F56))</x:f>
        <x:v>211365</x:v>
      </x:c>
    </x:row>
    <x:row r="57" ht="23" customHeight="1">
      <x:c r="A57" s="68" t="n">
        <x:f>5</x:f>
        <x:v>5</x:v>
      </x:c>
      <x:c r="B57" s="46" t="n">
        <x:f>ROUND('Unit Economics'!E4*'Global Inputs'!B37,0)</x:f>
        <x:v>1750</x:v>
      </x:c>
      <x:c r="C57" s="46" t="n">
        <x:f>'Unit Economics'!E5-SUM(C53:C56)</x:f>
        <x:v>1667</x:v>
      </x:c>
      <x:c r="D57" s="46" t="n">
        <x:f>SUM(C53:C57)-SUM(B53:B57)</x:f>
        <x:v>2917</x:v>
      </x:c>
      <x:c r="E57" s="28" t="n">
        <x:f>B57*'Unit Economics'!E19</x:f>
        <x:v>662536.875</x:v>
      </x:c>
      <x:c r="F57" s="28" t="n">
        <x:f>B57*'Unit Economics'!E11*'Unit Economics'!E17</x:f>
        <x:v>184944.37500000003</x:v>
      </x:c>
      <x:c r="G57" s="28" t="n">
        <x:f>E57-F57+F55</x:f>
        <x:v>530433.75</x:v>
      </x:c>
      <x:c r="H57" s="28" t="n">
        <x:f>E57*'Global Inputs'!$B$5/(1+'Global Inputs'!$B$5)</x:f>
        <x:v>101064.94703389831</x:v>
      </x:c>
      <x:c r="I57" s="28" t="n">
        <x:f>(C57*(1-'Global Inputs'!$B$14)+C58*'Global Inputs'!$B$14)*'Unit Economics'!E6</x:f>
        <x:v>104187.5</x:v>
      </x:c>
      <x:c r="J57" s="28" t="n">
        <x:f>B57*'Unit Economics'!E41</x:f>
        <x:v>290285.31</x:v>
      </x:c>
      <x:c r="K57" s="28" t="n">
        <x:f>'Global Inputs'!C37*'Unit Economics'!E7</x:f>
        <x:v>75000</x:v>
      </x:c>
      <x:c r="L57" s="28" t="n">
        <x:f>G57-SUM(H57:K57)</x:f>
        <x:v>-40104.00703389826</x:v>
      </x:c>
      <x:c r="M57" s="28" t="n">
        <x:f>SUM(L53:L57)</x:f>
        <x:v>-1795728.943644068</x:v>
      </x:c>
      <x:c r="N57" s="28" t="n">
        <x:f>SUM(F53:F57)-(SUM(G53:G57)-SUM(E53:E57)+SUM(F53:F57))</x:f>
        <x:v>343468.125</x:v>
      </x:c>
    </x:row>
    <x:row r="58" ht="23" customHeight="1">
      <x:c r="A58" s="68" t="n">
        <x:f>6</x:f>
        <x:v>6</x:v>
      </x:c>
      <x:c r="B58" s="46" t="n">
        <x:f>ROUND('Unit Economics'!E4*'Global Inputs'!B38,0)</x:f>
        <x:v>750</x:v>
      </x:c>
      <x:c r="C58" s="46" t="n">
        <x:f>0</x:f>
        <x:v>0</x:v>
      </x:c>
      <x:c r="D58" s="46" t="n">
        <x:f>SUM(C53:C58)-SUM(B53:B58)</x:f>
        <x:v>2167</x:v>
      </x:c>
      <x:c r="E58" s="28" t="n">
        <x:f>B58*'Unit Economics'!E19</x:f>
        <x:v>283944.375</x:v>
      </x:c>
      <x:c r="F58" s="28" t="n">
        <x:f>B58*'Unit Economics'!E11*'Unit Economics'!E17</x:f>
        <x:v>79261.87500000001</x:v>
      </x:c>
      <x:c r="G58" s="28" t="n">
        <x:f>E58-F58+F56</x:f>
        <x:v>363206.25</x:v>
      </x:c>
      <x:c r="H58" s="28" t="n">
        <x:f>E58*'Global Inputs'!$B$5/(1+'Global Inputs'!$B$5)</x:f>
        <x:v>43313.548728813555</x:v>
      </x:c>
      <x:c r="I58" s="28" t="n">
        <x:f>(C58*(1-'Global Inputs'!$B$14)+C59*'Global Inputs'!$B$14)*'Unit Economics'!E6</x:f>
        <x:v>0</x:v>
      </x:c>
      <x:c r="J58" s="28" t="n">
        <x:f>B58*'Unit Economics'!E41</x:f>
        <x:v>124407.99</x:v>
      </x:c>
      <x:c r="K58" s="28" t="n">
        <x:f>'Global Inputs'!C38*'Unit Economics'!E7</x:f>
        <x:v>75000</x:v>
      </x:c>
      <x:c r="L58" s="28" t="n">
        <x:f>G58-SUM(H58:K58)</x:f>
        <x:v>120484.71127118645</x:v>
      </x:c>
      <x:c r="M58" s="28" t="n">
        <x:f>SUM(L53:L58)</x:f>
        <x:v>-1675244.2323728816</x:v>
      </x:c>
      <x:c r="N58" s="28" t="n">
        <x:f>SUM(F53:F58)-(SUM(G53:G58)-SUM(E53:E58)+SUM(F53:F58))</x:f>
        <x:v>264206.25</x:v>
      </x:c>
    </x:row>
    <x:row r="59" ht="23" customHeight="1">
      <x:c r="A59" s="68" t="n">
        <x:f>7</x:f>
        <x:v>7</x:v>
      </x:c>
      <x:c r="B59" s="46" t="n">
        <x:f>ROUND('Unit Economics'!E4*'Global Inputs'!B39,0)</x:f>
        <x:v>250</x:v>
      </x:c>
      <x:c r="C59" s="46" t="n">
        <x:f>0</x:f>
        <x:v>0</x:v>
      </x:c>
      <x:c r="D59" s="46" t="n">
        <x:f>SUM(C53:C59)-SUM(B53:B59)</x:f>
        <x:v>1917</x:v>
      </x:c>
      <x:c r="E59" s="28" t="n">
        <x:f>B59*'Unit Economics'!E19</x:f>
        <x:v>94648.125</x:v>
      </x:c>
      <x:c r="F59" s="28" t="n">
        <x:f>B59*'Unit Economics'!E11*'Unit Economics'!E17</x:f>
        <x:v>26420.625000000004</x:v>
      </x:c>
      <x:c r="G59" s="28" t="n">
        <x:f>E59-F59+F57</x:f>
        <x:v>253171.87500000003</x:v>
      </x:c>
      <x:c r="H59" s="28" t="n">
        <x:f>E59*'Global Inputs'!$B$5/(1+'Global Inputs'!$B$5)</x:f>
        <x:v>14437.849576271186</x:v>
      </x:c>
      <x:c r="I59" s="28" t="n">
        <x:f>(C59*(1-'Global Inputs'!$B$14)+C60*'Global Inputs'!$B$14)*'Unit Economics'!E6</x:f>
        <x:v>0</x:v>
      </x:c>
      <x:c r="J59" s="28" t="n">
        <x:f>B59*'Unit Economics'!E41</x:f>
        <x:v>41469.33</x:v>
      </x:c>
      <x:c r="K59" s="28" t="n">
        <x:f>'Global Inputs'!C39*'Unit Economics'!E7</x:f>
        <x:v>60000</x:v>
      </x:c>
      <x:c r="L59" s="28" t="n">
        <x:f>G59-SUM(H59:K59)</x:f>
        <x:v>137264.69542372884</x:v>
      </x:c>
      <x:c r="M59" s="28" t="n">
        <x:f>SUM(L53:L59)</x:f>
        <x:v>-1537979.5369491528</x:v>
      </x:c>
      <x:c r="N59" s="28" t="n">
        <x:f>SUM(F53:F59)-(SUM(G53:G59)-SUM(E53:E59)+SUM(F53:F59))</x:f>
        <x:v>105682.5</x:v>
      </x:c>
    </x:row>
    <x:row r="60" ht="23" customHeight="1">
      <x:c r="A60" s="68" t="n">
        <x:f>8</x:f>
        <x:v>8</x:v>
      </x:c>
      <x:c r="B60" s="46" t="n">
        <x:f>ROUND('Unit Economics'!E4*'Global Inputs'!B40,0)</x:f>
        <x:v>125</x:v>
      </x:c>
      <x:c r="C60" s="46" t="n">
        <x:f>0</x:f>
        <x:v>0</x:v>
      </x:c>
      <x:c r="D60" s="46" t="n">
        <x:f>SUM(C53:C60)-SUM(B53:B60)</x:f>
        <x:v>1792</x:v>
      </x:c>
      <x:c r="E60" s="28" t="n">
        <x:f>B60*'Unit Economics'!E19</x:f>
        <x:v>47324.0625</x:v>
      </x:c>
      <x:c r="F60" s="28" t="n">
        <x:f>B60*'Unit Economics'!E11*'Unit Economics'!E17</x:f>
        <x:v>13210.312500000002</x:v>
      </x:c>
      <x:c r="G60" s="28" t="n">
        <x:f>E60-F60+F58</x:f>
        <x:v>113375.62500000001</x:v>
      </x:c>
      <x:c r="H60" s="28" t="n">
        <x:f>E60*'Global Inputs'!$B$5/(1+'Global Inputs'!$B$5)</x:f>
        <x:v>7218.924788135593</x:v>
      </x:c>
      <x:c r="I60" s="28" t="n">
        <x:f>(C60*(1-'Global Inputs'!$B$14)+C61*'Global Inputs'!$B$14)*'Unit Economics'!E6</x:f>
        <x:v>0</x:v>
      </x:c>
      <x:c r="J60" s="28" t="n">
        <x:f>B60*'Unit Economics'!E41</x:f>
        <x:v>20734.665</x:v>
      </x:c>
      <x:c r="K60" s="28" t="n">
        <x:f>'Global Inputs'!C40*'Unit Economics'!E7</x:f>
        <x:v>60000</x:v>
      </x:c>
      <x:c r="L60" s="28" t="n">
        <x:f>G60-SUM(H60:K60)</x:f>
        <x:v>25422.035211864422</x:v>
      </x:c>
      <x:c r="M60" s="28" t="n">
        <x:f>SUM(L53:L60)</x:f>
        <x:v>-1512557.5017372884</x:v>
      </x:c>
      <x:c r="N60" s="28" t="n">
        <x:f>SUM(F53:F60)-(SUM(G53:G60)-SUM(E53:E60)+SUM(F53:F60))</x:f>
        <x:v>39630.9375</x:v>
      </x:c>
    </x:row>
    <x:row r="61" ht="23" customHeight="1">
      <x:c r="A61" s="68" t="n">
        <x:f>9</x:f>
        <x:v>9</x:v>
      </x:c>
      <x:c r="B61" s="46" t="n">
        <x:f>'Unit Economics'!E4-SUM(B53:B60)</x:f>
        <x:v>125</x:v>
      </x:c>
      <x:c r="C61" s="46" t="n">
        <x:f>0</x:f>
        <x:v>0</x:v>
      </x:c>
      <x:c r="D61" s="46" t="n">
        <x:f>SUM(C53:C61)-SUM(B53:B61)</x:f>
        <x:v>1667</x:v>
      </x:c>
      <x:c r="E61" s="28" t="n">
        <x:f>B61*'Unit Economics'!E19</x:f>
        <x:v>47324.0625</x:v>
      </x:c>
      <x:c r="F61" s="28" t="n">
        <x:f>B61*'Unit Economics'!E11*'Unit Economics'!E17</x:f>
        <x:v>13210.312500000002</x:v>
      </x:c>
      <x:c r="G61" s="28" t="n">
        <x:f>E61-F61+F59</x:f>
        <x:v>60534.375</x:v>
      </x:c>
      <x:c r="H61" s="28" t="n">
        <x:f>E61*'Global Inputs'!$B$5/(1+'Global Inputs'!$B$5)</x:f>
        <x:v>7218.924788135593</x:v>
      </x:c>
      <x:c r="I61" s="28" t="n">
        <x:f>(C61*(1-'Global Inputs'!$B$14)+C62*'Global Inputs'!$B$14)*'Unit Economics'!E6</x:f>
        <x:v>0</x:v>
      </x:c>
      <x:c r="J61" s="28" t="n">
        <x:f>B61*'Unit Economics'!E41</x:f>
        <x:v>20734.665</x:v>
      </x:c>
      <x:c r="K61" s="28" t="n">
        <x:f>'Global Inputs'!C41*'Unit Economics'!E7</x:f>
        <x:v>30000</x:v>
      </x:c>
      <x:c r="L61" s="28" t="n">
        <x:f>G61-SUM(H61:K61)</x:f>
        <x:v>2580.7852118644078</x:v>
      </x:c>
      <x:c r="M61" s="28" t="n">
        <x:f>SUM(L53:L61)</x:f>
        <x:v>-1509976.716525424</x:v>
      </x:c>
      <x:c r="N61" s="28" t="n">
        <x:f>SUM(F53:F61)-(SUM(G53:G61)-SUM(E53:E61)+SUM(F53:F61))</x:f>
        <x:v>26420.625</x:v>
      </x:c>
    </x:row>
    <x:row r="62" ht="23" customHeight="1">
      <x:c r="A62" s="68" t="n">
        <x:f>10</x:f>
        <x:v>10</x:v>
      </x:c>
      <x:c r="B62" s="46" t="n">
        <x:f>ROUND('Unit Economics'!E4*'Global Inputs'!B42,0)</x:f>
        <x:v>0</x:v>
      </x:c>
      <x:c r="C62" s="46" t="n">
        <x:f>0</x:f>
        <x:v>0</x:v>
      </x:c>
      <x:c r="D62" s="46" t="n">
        <x:f>SUM(C53:C62)-SUM(B53:B62)</x:f>
        <x:v>1667</x:v>
      </x:c>
      <x:c r="E62" s="28" t="n">
        <x:f>B62*'Unit Economics'!E19</x:f>
        <x:v>0</x:v>
      </x:c>
      <x:c r="F62" s="28" t="n">
        <x:f>B62*'Unit Economics'!E11*'Unit Economics'!E17</x:f>
        <x:v>0</x:v>
      </x:c>
      <x:c r="G62" s="28" t="n">
        <x:f>E62-F62+F60</x:f>
        <x:v>13210.312500000002</x:v>
      </x:c>
      <x:c r="H62" s="28" t="n">
        <x:f>E62*'Global Inputs'!$B$5/(1+'Global Inputs'!$B$5)</x:f>
        <x:v>0</x:v>
      </x:c>
      <x:c r="I62" s="28" t="n">
        <x:f>(C62*(1-'Global Inputs'!$B$14)+C63*'Global Inputs'!$B$14)*'Unit Economics'!E6</x:f>
        <x:v>0</x:v>
      </x:c>
      <x:c r="J62" s="28" t="n">
        <x:f>B62*'Unit Economics'!E41</x:f>
        <x:v>0</x:v>
      </x:c>
      <x:c r="K62" s="28" t="n">
        <x:f>'Global Inputs'!C42*'Unit Economics'!E7</x:f>
        <x:v>30000</x:v>
      </x:c>
      <x:c r="L62" s="28" t="n">
        <x:f>G62-SUM(H62:K62)</x:f>
        <x:v>-16789.6875</x:v>
      </x:c>
      <x:c r="M62" s="28" t="n">
        <x:f>SUM(L53:L62)</x:f>
        <x:v>-1526766.404025424</x:v>
      </x:c>
      <x:c r="N62" s="28" t="n">
        <x:f>SUM(F53:F62)-(SUM(G53:G62)-SUM(E53:E62)+SUM(F53:F62))</x:f>
        <x:v>13210.3125</x:v>
      </x:c>
    </x:row>
    <x:row r="63" ht="23" customHeight="1">
      <x:c r="A63" s="68" t="n">
        <x:f>11</x:f>
        <x:v>11</x:v>
      </x:c>
      <x:c r="B63" s="46" t="n">
        <x:f>ROUND('Unit Economics'!E4*'Global Inputs'!B43,0)</x:f>
        <x:v>0</x:v>
      </x:c>
      <x:c r="C63" s="46" t="n">
        <x:f>0</x:f>
        <x:v>0</x:v>
      </x:c>
      <x:c r="D63" s="46" t="n">
        <x:f>SUM(C53:C63)-SUM(B53:B63)</x:f>
        <x:v>1667</x:v>
      </x:c>
      <x:c r="E63" s="28" t="n">
        <x:f>B63*'Unit Economics'!E19</x:f>
        <x:v>0</x:v>
      </x:c>
      <x:c r="F63" s="28" t="n">
        <x:f>B63*'Unit Economics'!E11*'Unit Economics'!E17</x:f>
        <x:v>0</x:v>
      </x:c>
      <x:c r="G63" s="28" t="n">
        <x:f>E63-F63+F61</x:f>
        <x:v>13210.312500000002</x:v>
      </x:c>
      <x:c r="H63" s="28" t="n">
        <x:f>E63*'Global Inputs'!$B$5/(1+'Global Inputs'!$B$5)</x:f>
        <x:v>0</x:v>
      </x:c>
      <x:c r="I63" s="28" t="n">
        <x:f>(C63*(1-'Global Inputs'!$B$14)+C64*'Global Inputs'!$B$14)*'Unit Economics'!E6</x:f>
        <x:v>0</x:v>
      </x:c>
      <x:c r="J63" s="28" t="n">
        <x:f>B63*'Unit Economics'!E41</x:f>
        <x:v>0</x:v>
      </x:c>
      <x:c r="K63" s="28" t="n">
        <x:f>'Global Inputs'!C43*'Unit Economics'!E7</x:f>
        <x:v>30000</x:v>
      </x:c>
      <x:c r="L63" s="28" t="n">
        <x:f>G63-SUM(H63:K63)</x:f>
        <x:v>-16789.6875</x:v>
      </x:c>
      <x:c r="M63" s="28" t="n">
        <x:f>SUM(L53:L63)</x:f>
        <x:v>-1543556.091525424</x:v>
      </x:c>
      <x:c r="N63" s="28" t="n">
        <x:f>SUM(F53:F63)-(SUM(G53:G63)-SUM(E53:E63)+SUM(F53:F63))</x:f>
        <x:v>0</x:v>
      </x:c>
    </x:row>
    <x:row r="64" ht="23" customHeight="1">
      <x:c r="A64" s="68" t="n">
        <x:f>12</x:f>
        <x:v>12</x:v>
      </x:c>
      <x:c r="B64" s="46" t="n">
        <x:f>ROUND('Unit Economics'!E4*'Global Inputs'!B44,0)</x:f>
        <x:v>0</x:v>
      </x:c>
      <x:c r="C64" s="46" t="n">
        <x:f>0</x:f>
        <x:v>0</x:v>
      </x:c>
      <x:c r="D64" s="46" t="n">
        <x:f>SUM(C53:C64)-SUM(B53:B64)</x:f>
        <x:v>1667</x:v>
      </x:c>
      <x:c r="E64" s="28" t="n">
        <x:f>B64*'Unit Economics'!E19</x:f>
        <x:v>0</x:v>
      </x:c>
      <x:c r="F64" s="28" t="n">
        <x:f>B64*'Unit Economics'!E11*'Unit Economics'!E17</x:f>
        <x:v>0</x:v>
      </x:c>
      <x:c r="G64" s="28" t="n">
        <x:f>E64-F64+F62</x:f>
        <x:v>0</x:v>
      </x:c>
      <x:c r="H64" s="28" t="n">
        <x:f>E64*'Global Inputs'!$B$5/(1+'Global Inputs'!$B$5)</x:f>
        <x:v>0</x:v>
      </x:c>
      <x:c r="I64" s="28" t="n">
        <x:f>(C64*(1-'Global Inputs'!$B$14))*'Unit Economics'!E6</x:f>
        <x:v>0</x:v>
      </x:c>
      <x:c r="J64" s="28" t="n">
        <x:f>B64*'Unit Economics'!E41</x:f>
        <x:v>0</x:v>
      </x:c>
      <x:c r="K64" s="28" t="n">
        <x:f>'Global Inputs'!C44*'Unit Economics'!E7</x:f>
        <x:v>15000</x:v>
      </x:c>
      <x:c r="L64" s="28" t="n">
        <x:f>G64-SUM(H64:K64)</x:f>
        <x:v>-15000</x:v>
      </x:c>
      <x:c r="M64" s="28" t="n">
        <x:f>SUM(L53:L64)</x:f>
        <x:v>-1558556.091525424</x:v>
      </x:c>
      <x:c r="N64" s="28" t="n">
        <x:f>SUM(F53:F64)-(SUM(G53:G64)-SUM(E53:E64)+SUM(F53:F64))</x:f>
        <x:v>0</x:v>
      </x:c>
    </x:row>
    <x:row r="65" ht="23" customHeight="1">
      <x:c r="A65" s="4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</x:row>
    <x:row r="66" ht="23" customHeight="1">
      <x:c r="A66" s="4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</x:row>
    <x:row r="67" ht="30" customHeight="1">
      <x:c r="A67" s="7" t="str">
        <x:v>Base | 5,000 retained books</x:v>
      </x:c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</x:row>
    <x:row r="68" ht="42" customHeight="1">
      <x:c r="A68" s="14" t="str">
        <x:v>Month</x:v>
      </x:c>
      <x:c r="B68" s="78" t="str">
        <x:v>Retained sales</x:v>
      </x:c>
      <x:c r="C68" s="78" t="str">
        <x:v>Print receipts</x:v>
      </x:c>
      <x:c r="D68" s="78" t="str">
        <x:v>Closing stock</x:v>
      </x:c>
      <x:c r="E68" s="78" t="str">
        <x:v>Gross invoiced</x:v>
      </x:c>
      <x:c r="F68" s="78" t="str">
        <x:v>Trade invoiced</x:v>
      </x:c>
      <x:c r="G68" s="78" t="str">
        <x:v>Cash receipts</x:v>
      </x:c>
      <x:c r="H68" s="78" t="str">
        <x:v>GST reserved</x:v>
      </x:c>
      <x:c r="I68" s="78" t="str">
        <x:v>Printer cash</x:v>
      </x:c>
      <x:c r="J68" s="78" t="str">
        <x:v>Other variable/reserved</x:v>
      </x:c>
      <x:c r="K68" s="78" t="str">
        <x:v>Fixed cash</x:v>
      </x:c>
      <x:c r="L68" s="78" t="str">
        <x:v>Net usable cash</x:v>
      </x:c>
      <x:c r="M68" s="78" t="str">
        <x:v>Cumulative cash</x:v>
      </x:c>
      <x:c r="N68" s="78" t="str">
        <x:v>Trade receivable</x:v>
      </x:c>
    </x:row>
    <x:row r="69" ht="23" customHeight="1">
      <x:c r="A69" s="68" t="n">
        <x:f>1</x:f>
        <x:v>1</x:v>
      </x:c>
      <x:c r="B69" s="46" t="n">
        <x:f>ROUND('Unit Economics'!F4*'Global Inputs'!B33,0)</x:f>
        <x:v>0</x:v>
      </x:c>
      <x:c r="C69" s="46" t="n">
        <x:f>0</x:f>
        <x:v>0</x:v>
      </x:c>
      <x:c r="D69" s="46" t="n">
        <x:f>SUM(C69:C69)-SUM(B69:B69)</x:f>
        <x:v>0</x:v>
      </x:c>
      <x:c r="E69" s="28" t="n">
        <x:f>B69*'Unit Economics'!F19</x:f>
        <x:v>0</x:v>
      </x:c>
      <x:c r="F69" s="28" t="n">
        <x:f>B69*'Unit Economics'!F11*'Unit Economics'!F17</x:f>
        <x:v>0</x:v>
      </x:c>
      <x:c r="G69" s="28" t="n">
        <x:f>E69-F69</x:f>
        <x:v>0</x:v>
      </x:c>
      <x:c r="H69" s="28" t="n">
        <x:f>E69*'Global Inputs'!$B$5/(1+'Global Inputs'!$B$5)</x:f>
        <x:v>0</x:v>
      </x:c>
      <x:c r="I69" s="28" t="n">
        <x:f>(C69*(1-'Global Inputs'!$B$14)+C70*'Global Inputs'!$B$14)*'Unit Economics'!F6</x:f>
        <x:v>116655</x:v>
      </x:c>
      <x:c r="J69" s="28" t="n">
        <x:f>B69*'Unit Economics'!F41</x:f>
        <x:v>0</x:v>
      </x:c>
      <x:c r="K69" s="28" t="n">
        <x:f>'Global Inputs'!C33*'Unit Economics'!F7</x:f>
        <x:v>420000</x:v>
      </x:c>
      <x:c r="L69" s="28" t="n">
        <x:f>G69-SUM(H69:K69)</x:f>
        <x:v>-536655</x:v>
      </x:c>
      <x:c r="M69" s="28" t="n">
        <x:f>SUM(L69:L69)</x:f>
        <x:v>-536655</x:v>
      </x:c>
      <x:c r="N69" s="28" t="n">
        <x:f>SUM(F69:F69)-(SUM(G69:G69)-SUM(E69:E69)+SUM(F69:F69))</x:f>
        <x:v>0</x:v>
      </x:c>
    </x:row>
    <x:row r="70" ht="23" customHeight="1">
      <x:c r="A70" s="68" t="n">
        <x:f>2</x:f>
        <x:v>2</x:v>
      </x:c>
      <x:c r="B70" s="46" t="n">
        <x:f>ROUND('Unit Economics'!F4*'Global Inputs'!B34,0)</x:f>
        <x:v>0</x:v>
      </x:c>
      <x:c r="C70" s="46" t="n">
        <x:f>ROUND('Unit Economics'!F5*'Global Inputs'!$B$15,0)</x:f>
        <x:v>2222</x:v>
      </x:c>
      <x:c r="D70" s="46" t="n">
        <x:f>SUM(C69:C70)-SUM(B69:B70)</x:f>
        <x:v>2222</x:v>
      </x:c>
      <x:c r="E70" s="28" t="n">
        <x:f>B70*'Unit Economics'!F19</x:f>
        <x:v>0</x:v>
      </x:c>
      <x:c r="F70" s="28" t="n">
        <x:f>B70*'Unit Economics'!F11*'Unit Economics'!F17</x:f>
        <x:v>0</x:v>
      </x:c>
      <x:c r="G70" s="28" t="n">
        <x:f>E70-F70</x:f>
        <x:v>0</x:v>
      </x:c>
      <x:c r="H70" s="28" t="n">
        <x:f>E70*'Global Inputs'!$B$5/(1+'Global Inputs'!$B$5)</x:f>
        <x:v>0</x:v>
      </x:c>
      <x:c r="I70" s="28" t="n">
        <x:f>(C70*(1-'Global Inputs'!$B$14)+C71*'Global Inputs'!$B$14)*'Unit Economics'!F6</x:f>
        <x:v>116655</x:v>
      </x:c>
      <x:c r="J70" s="28" t="n">
        <x:f>B70*'Unit Economics'!F41</x:f>
        <x:v>0</x:v>
      </x:c>
      <x:c r="K70" s="28" t="n">
        <x:f>'Global Inputs'!C34*'Unit Economics'!F7</x:f>
        <x:v>300000</x:v>
      </x:c>
      <x:c r="L70" s="28" t="n">
        <x:f>G70-SUM(H70:K70)</x:f>
        <x:v>-416655</x:v>
      </x:c>
      <x:c r="M70" s="28" t="n">
        <x:f>SUM(L69:L70)</x:f>
        <x:v>-953310</x:v>
      </x:c>
      <x:c r="N70" s="28" t="n">
        <x:f>SUM(F69:F70)-(SUM(G69:G70)-SUM(E69:E70)+SUM(F69:F70))</x:f>
        <x:v>0</x:v>
      </x:c>
    </x:row>
    <x:row r="71" ht="23" customHeight="1">
      <x:c r="A71" s="68" t="n">
        <x:f>3</x:f>
        <x:v>3</x:v>
      </x:c>
      <x:c r="B71" s="46" t="n">
        <x:f>ROUND('Unit Economics'!F4*'Global Inputs'!B35,0)</x:f>
        <x:v>500</x:v>
      </x:c>
      <x:c r="C71" s="46" t="n">
        <x:f>0</x:f>
        <x:v>0</x:v>
      </x:c>
      <x:c r="D71" s="46" t="n">
        <x:f>SUM(C69:C71)-SUM(B69:B71)</x:f>
        <x:v>1722</x:v>
      </x:c>
      <x:c r="E71" s="28" t="n">
        <x:f>B71*'Unit Economics'!F19</x:f>
        <x:v>215075</x:v>
      </x:c>
      <x:c r="F71" s="28" t="n">
        <x:f>B71*'Unit Economics'!F11*'Unit Economics'!F17</x:f>
        <x:v>41175</x:v>
      </x:c>
      <x:c r="G71" s="28" t="n">
        <x:f>E71-F71+F69</x:f>
        <x:v>173900</x:v>
      </x:c>
      <x:c r="H71" s="28" t="n">
        <x:f>E71*'Global Inputs'!$B$5/(1+'Global Inputs'!$B$5)</x:f>
        <x:v>32808.05084745763</x:v>
      </x:c>
      <x:c r="I71" s="28" t="n">
        <x:f>(C71*(1-'Global Inputs'!$B$14)+C72*'Global Inputs'!$B$14)*'Unit Economics'!F6</x:f>
        <x:v>102112.5</x:v>
      </x:c>
      <x:c r="J71" s="28" t="n">
        <x:f>B71*'Unit Economics'!F41</x:f>
        <x:v>64861.490000000005</x:v>
      </x:c>
      <x:c r="K71" s="28" t="n">
        <x:f>'Global Inputs'!C35*'Unit Economics'!F7</x:f>
        <x:v>120000</x:v>
      </x:c>
      <x:c r="L71" s="28" t="n">
        <x:f>G71-SUM(H71:K71)</x:f>
        <x:v>-145882.04084745765</x:v>
      </x:c>
      <x:c r="M71" s="28" t="n">
        <x:f>SUM(L69:L71)</x:f>
        <x:v>-1099192.0408474577</x:v>
      </x:c>
      <x:c r="N71" s="28" t="n">
        <x:f>SUM(F69:F71)-(SUM(G69:G71)-SUM(E69:E71)+SUM(F69:F71))</x:f>
        <x:v>41175</x:v>
      </x:c>
    </x:row>
    <x:row r="72" ht="23" customHeight="1">
      <x:c r="A72" s="68" t="n">
        <x:f>4</x:f>
        <x:v>4</x:v>
      </x:c>
      <x:c r="B72" s="46" t="n">
        <x:f>ROUND('Unit Economics'!F4*'Global Inputs'!B36,0)</x:f>
        <x:v>1500</x:v>
      </x:c>
      <x:c r="C72" s="46" t="n">
        <x:f>ROUND('Unit Economics'!F5*'Global Inputs'!$B$16,0)</x:f>
        <x:v>1945</x:v>
      </x:c>
      <x:c r="D72" s="46" t="n">
        <x:f>SUM(C69:C72)-SUM(B69:B72)</x:f>
        <x:v>2167</x:v>
      </x:c>
      <x:c r="E72" s="28" t="n">
        <x:f>B72*'Unit Economics'!F19</x:f>
        <x:v>645225</x:v>
      </x:c>
      <x:c r="F72" s="28" t="n">
        <x:f>B72*'Unit Economics'!F11*'Unit Economics'!F17</x:f>
        <x:v>123524.99999999999</x:v>
      </x:c>
      <x:c r="G72" s="28" t="n">
        <x:f>E72-F72+F70</x:f>
        <x:v>521700</x:v>
      </x:c>
      <x:c r="H72" s="28" t="n">
        <x:f>E72*'Global Inputs'!$B$5/(1+'Global Inputs'!$B$5)</x:f>
        <x:v>98424.15254237289</x:v>
      </x:c>
      <x:c r="I72" s="28" t="n">
        <x:f>(C72*(1-'Global Inputs'!$B$14)+C73*'Global Inputs'!$B$14)*'Unit Economics'!F6</x:f>
        <x:v>175035</x:v>
      </x:c>
      <x:c r="J72" s="28" t="n">
        <x:f>B72*'Unit Economics'!F41</x:f>
        <x:v>194584.47</x:v>
      </x:c>
      <x:c r="K72" s="28" t="n">
        <x:f>'Global Inputs'!C36*'Unit Economics'!F7</x:f>
        <x:v>60000</x:v>
      </x:c>
      <x:c r="L72" s="28" t="n">
        <x:f>G72-SUM(H72:K72)</x:f>
        <x:v>-6343.622542372905</x:v>
      </x:c>
      <x:c r="M72" s="28" t="n">
        <x:f>SUM(L69:L72)</x:f>
        <x:v>-1105535.6633898306</x:v>
      </x:c>
      <x:c r="N72" s="28" t="n">
        <x:f>SUM(F69:F72)-(SUM(G69:G72)-SUM(E69:E72)+SUM(F69:F72))</x:f>
        <x:v>164700</x:v>
      </x:c>
    </x:row>
    <x:row r="73" ht="23" customHeight="1">
      <x:c r="A73" s="68" t="n">
        <x:f>5</x:f>
        <x:v>5</x:v>
      </x:c>
      <x:c r="B73" s="46" t="n">
        <x:f>ROUND('Unit Economics'!F4*'Global Inputs'!B37,0)</x:f>
        <x:v>1750</x:v>
      </x:c>
      <x:c r="C73" s="46" t="n">
        <x:f>'Unit Economics'!F5-SUM(C69:C72)</x:f>
        <x:v>1389</x:v>
      </x:c>
      <x:c r="D73" s="46" t="n">
        <x:f>SUM(C69:C73)-SUM(B69:B73)</x:f>
        <x:v>1806</x:v>
      </x:c>
      <x:c r="E73" s="28" t="n">
        <x:f>B73*'Unit Economics'!F19</x:f>
        <x:v>752762.5</x:v>
      </x:c>
      <x:c r="F73" s="28" t="n">
        <x:f>B73*'Unit Economics'!F11*'Unit Economics'!F17</x:f>
        <x:v>144112.5</x:v>
      </x:c>
      <x:c r="G73" s="28" t="n">
        <x:f>E73-F73+F71</x:f>
        <x:v>649825</x:v>
      </x:c>
      <x:c r="H73" s="28" t="n">
        <x:f>E73*'Global Inputs'!$B$5/(1+'Global Inputs'!$B$5)</x:f>
        <x:v>114828.1779661017</x:v>
      </x:c>
      <x:c r="I73" s="28" t="n">
        <x:f>(C73*(1-'Global Inputs'!$B$14)+C74*'Global Inputs'!$B$14)*'Unit Economics'!F6</x:f>
        <x:v>72922.5</x:v>
      </x:c>
      <x:c r="J73" s="28" t="n">
        <x:f>B73*'Unit Economics'!F41</x:f>
        <x:v>227015.21500000003</x:v>
      </x:c>
      <x:c r="K73" s="28" t="n">
        <x:f>'Global Inputs'!C37*'Unit Economics'!F7</x:f>
        <x:v>60000</x:v>
      </x:c>
      <x:c r="L73" s="28" t="n">
        <x:f>G73-SUM(H73:K73)</x:f>
        <x:v>175059.10703389824</x:v>
      </x:c>
      <x:c r="M73" s="28" t="n">
        <x:f>SUM(L69:L73)</x:f>
        <x:v>-930476.5563559324</x:v>
      </x:c>
      <x:c r="N73" s="28" t="n">
        <x:f>SUM(F69:F73)-(SUM(G69:G73)-SUM(E69:E73)+SUM(F69:F73))</x:f>
        <x:v>267637.5</x:v>
      </x:c>
    </x:row>
    <x:row r="74" ht="23" customHeight="1">
      <x:c r="A74" s="68" t="n">
        <x:f>6</x:f>
        <x:v>6</x:v>
      </x:c>
      <x:c r="B74" s="46" t="n">
        <x:f>ROUND('Unit Economics'!F4*'Global Inputs'!B38,0)</x:f>
        <x:v>750</x:v>
      </x:c>
      <x:c r="C74" s="46" t="n">
        <x:f>0</x:f>
        <x:v>0</x:v>
      </x:c>
      <x:c r="D74" s="46" t="n">
        <x:f>SUM(C69:C74)-SUM(B69:B74)</x:f>
        <x:v>1056</x:v>
      </x:c>
      <x:c r="E74" s="28" t="n">
        <x:f>B74*'Unit Economics'!F19</x:f>
        <x:v>322612.5</x:v>
      </x:c>
      <x:c r="F74" s="28" t="n">
        <x:f>B74*'Unit Economics'!F11*'Unit Economics'!F17</x:f>
        <x:v>61762.49999999999</x:v>
      </x:c>
      <x:c r="G74" s="28" t="n">
        <x:f>E74-F74+F72</x:f>
        <x:v>384375</x:v>
      </x:c>
      <x:c r="H74" s="28" t="n">
        <x:f>E74*'Global Inputs'!$B$5/(1+'Global Inputs'!$B$5)</x:f>
        <x:v>49212.076271186445</x:v>
      </x:c>
      <x:c r="I74" s="28" t="n">
        <x:f>(C74*(1-'Global Inputs'!$B$14)+C75*'Global Inputs'!$B$14)*'Unit Economics'!F6</x:f>
        <x:v>0</x:v>
      </x:c>
      <x:c r="J74" s="28" t="n">
        <x:f>B74*'Unit Economics'!F41</x:f>
        <x:v>97292.235</x:v>
      </x:c>
      <x:c r="K74" s="28" t="n">
        <x:f>'Global Inputs'!C38*'Unit Economics'!F7</x:f>
        <x:v>60000</x:v>
      </x:c>
      <x:c r="L74" s="28" t="n">
        <x:f>G74-SUM(H74:K74)</x:f>
        <x:v>177870.68872881355</x:v>
      </x:c>
      <x:c r="M74" s="28" t="n">
        <x:f>SUM(L69:L74)</x:f>
        <x:v>-752605.8676271188</x:v>
      </x:c>
      <x:c r="N74" s="28" t="n">
        <x:f>SUM(F69:F74)-(SUM(G69:G74)-SUM(E69:E74)+SUM(F69:F74))</x:f>
        <x:v>205875</x:v>
      </x:c>
    </x:row>
    <x:row r="75" ht="23" customHeight="1">
      <x:c r="A75" s="68" t="n">
        <x:f>7</x:f>
        <x:v>7</x:v>
      </x:c>
      <x:c r="B75" s="46" t="n">
        <x:f>ROUND('Unit Economics'!F4*'Global Inputs'!B39,0)</x:f>
        <x:v>250</x:v>
      </x:c>
      <x:c r="C75" s="46" t="n">
        <x:f>0</x:f>
        <x:v>0</x:v>
      </x:c>
      <x:c r="D75" s="46" t="n">
        <x:f>SUM(C69:C75)-SUM(B69:B75)</x:f>
        <x:v>806</x:v>
      </x:c>
      <x:c r="E75" s="28" t="n">
        <x:f>B75*'Unit Economics'!F19</x:f>
        <x:v>107537.5</x:v>
      </x:c>
      <x:c r="F75" s="28" t="n">
        <x:f>B75*'Unit Economics'!F11*'Unit Economics'!F17</x:f>
        <x:v>20587.5</x:v>
      </x:c>
      <x:c r="G75" s="28" t="n">
        <x:f>E75-F75+F73</x:f>
        <x:v>231062.5</x:v>
      </x:c>
      <x:c r="H75" s="28" t="n">
        <x:f>E75*'Global Inputs'!$B$5/(1+'Global Inputs'!$B$5)</x:f>
        <x:v>16404.025423728814</x:v>
      </x:c>
      <x:c r="I75" s="28" t="n">
        <x:f>(C75*(1-'Global Inputs'!$B$14)+C76*'Global Inputs'!$B$14)*'Unit Economics'!F6</x:f>
        <x:v>0</x:v>
      </x:c>
      <x:c r="J75" s="28" t="n">
        <x:f>B75*'Unit Economics'!F41</x:f>
        <x:v>32430.745000000003</x:v>
      </x:c>
      <x:c r="K75" s="28" t="n">
        <x:f>'Global Inputs'!C39*'Unit Economics'!F7</x:f>
        <x:v>48000</x:v>
      </x:c>
      <x:c r="L75" s="28" t="n">
        <x:f>G75-SUM(H75:K75)</x:f>
        <x:v>134227.7295762712</x:v>
      </x:c>
      <x:c r="M75" s="28" t="n">
        <x:f>SUM(L69:L75)</x:f>
        <x:v>-618378.1380508477</x:v>
      </x:c>
      <x:c r="N75" s="28" t="n">
        <x:f>SUM(F69:F75)-(SUM(G69:G75)-SUM(E69:E75)+SUM(F69:F75))</x:f>
        <x:v>82350</x:v>
      </x:c>
    </x:row>
    <x:row r="76" ht="23" customHeight="1">
      <x:c r="A76" s="68" t="n">
        <x:f>8</x:f>
        <x:v>8</x:v>
      </x:c>
      <x:c r="B76" s="46" t="n">
        <x:f>ROUND('Unit Economics'!F4*'Global Inputs'!B40,0)</x:f>
        <x:v>125</x:v>
      </x:c>
      <x:c r="C76" s="46" t="n">
        <x:f>0</x:f>
        <x:v>0</x:v>
      </x:c>
      <x:c r="D76" s="46" t="n">
        <x:f>SUM(C69:C76)-SUM(B69:B76)</x:f>
        <x:v>681</x:v>
      </x:c>
      <x:c r="E76" s="28" t="n">
        <x:f>B76*'Unit Economics'!F19</x:f>
        <x:v>53768.75</x:v>
      </x:c>
      <x:c r="F76" s="28" t="n">
        <x:f>B76*'Unit Economics'!F11*'Unit Economics'!F17</x:f>
        <x:v>10293.75</x:v>
      </x:c>
      <x:c r="G76" s="28" t="n">
        <x:f>E76-F76+F74</x:f>
        <x:v>105237.5</x:v>
      </x:c>
      <x:c r="H76" s="28" t="n">
        <x:f>E76*'Global Inputs'!$B$5/(1+'Global Inputs'!$B$5)</x:f>
        <x:v>8202.012711864407</x:v>
      </x:c>
      <x:c r="I76" s="28" t="n">
        <x:f>(C76*(1-'Global Inputs'!$B$14)+C77*'Global Inputs'!$B$14)*'Unit Economics'!F6</x:f>
        <x:v>0</x:v>
      </x:c>
      <x:c r="J76" s="28" t="n">
        <x:f>B76*'Unit Economics'!F41</x:f>
        <x:v>16215.372500000001</x:v>
      </x:c>
      <x:c r="K76" s="28" t="n">
        <x:f>'Global Inputs'!C40*'Unit Economics'!F7</x:f>
        <x:v>48000</x:v>
      </x:c>
      <x:c r="L76" s="28" t="n">
        <x:f>G76-SUM(H76:K76)</x:f>
        <x:v>32820.1147881356</x:v>
      </x:c>
      <x:c r="M76" s="28" t="n">
        <x:f>SUM(L69:L76)</x:f>
        <x:v>-585558.023262712</x:v>
      </x:c>
      <x:c r="N76" s="28" t="n">
        <x:f>SUM(F69:F76)-(SUM(G69:G76)-SUM(E69:E76)+SUM(F69:F76))</x:f>
        <x:v>30881.25</x:v>
      </x:c>
    </x:row>
    <x:row r="77" ht="23" customHeight="1">
      <x:c r="A77" s="68" t="n">
        <x:f>9</x:f>
        <x:v>9</x:v>
      </x:c>
      <x:c r="B77" s="46" t="n">
        <x:f>'Unit Economics'!F4-SUM(B69:B76)</x:f>
        <x:v>125</x:v>
      </x:c>
      <x:c r="C77" s="46" t="n">
        <x:f>0</x:f>
        <x:v>0</x:v>
      </x:c>
      <x:c r="D77" s="46" t="n">
        <x:f>SUM(C69:C77)-SUM(B69:B77)</x:f>
        <x:v>556</x:v>
      </x:c>
      <x:c r="E77" s="28" t="n">
        <x:f>B77*'Unit Economics'!F19</x:f>
        <x:v>53768.75</x:v>
      </x:c>
      <x:c r="F77" s="28" t="n">
        <x:f>B77*'Unit Economics'!F11*'Unit Economics'!F17</x:f>
        <x:v>10293.75</x:v>
      </x:c>
      <x:c r="G77" s="28" t="n">
        <x:f>E77-F77+F75</x:f>
        <x:v>64062.5</x:v>
      </x:c>
      <x:c r="H77" s="28" t="n">
        <x:f>E77*'Global Inputs'!$B$5/(1+'Global Inputs'!$B$5)</x:f>
        <x:v>8202.012711864407</x:v>
      </x:c>
      <x:c r="I77" s="28" t="n">
        <x:f>(C77*(1-'Global Inputs'!$B$14)+C78*'Global Inputs'!$B$14)*'Unit Economics'!F6</x:f>
        <x:v>0</x:v>
      </x:c>
      <x:c r="J77" s="28" t="n">
        <x:f>B77*'Unit Economics'!F41</x:f>
        <x:v>16215.372500000001</x:v>
      </x:c>
      <x:c r="K77" s="28" t="n">
        <x:f>'Global Inputs'!C41*'Unit Economics'!F7</x:f>
        <x:v>24000</x:v>
      </x:c>
      <x:c r="L77" s="28" t="n">
        <x:f>G77-SUM(H77:K77)</x:f>
        <x:v>15645.114788135594</x:v>
      </x:c>
      <x:c r="M77" s="28" t="n">
        <x:f>SUM(L69:L77)</x:f>
        <x:v>-569912.9084745764</x:v>
      </x:c>
      <x:c r="N77" s="28" t="n">
        <x:f>SUM(F69:F77)-(SUM(G69:G77)-SUM(E69:E77)+SUM(F69:F77))</x:f>
        <x:v>20587.5</x:v>
      </x:c>
    </x:row>
    <x:row r="78" ht="23" customHeight="1">
      <x:c r="A78" s="68" t="n">
        <x:f>10</x:f>
        <x:v>10</x:v>
      </x:c>
      <x:c r="B78" s="46" t="n">
        <x:f>ROUND('Unit Economics'!F4*'Global Inputs'!B42,0)</x:f>
        <x:v>0</x:v>
      </x:c>
      <x:c r="C78" s="46" t="n">
        <x:f>0</x:f>
        <x:v>0</x:v>
      </x:c>
      <x:c r="D78" s="46" t="n">
        <x:f>SUM(C69:C78)-SUM(B69:B78)</x:f>
        <x:v>556</x:v>
      </x:c>
      <x:c r="E78" s="28" t="n">
        <x:f>B78*'Unit Economics'!F19</x:f>
        <x:v>0</x:v>
      </x:c>
      <x:c r="F78" s="28" t="n">
        <x:f>B78*'Unit Economics'!F11*'Unit Economics'!F17</x:f>
        <x:v>0</x:v>
      </x:c>
      <x:c r="G78" s="28" t="n">
        <x:f>E78-F78+F76</x:f>
        <x:v>10293.75</x:v>
      </x:c>
      <x:c r="H78" s="28" t="n">
        <x:f>E78*'Global Inputs'!$B$5/(1+'Global Inputs'!$B$5)</x:f>
        <x:v>0</x:v>
      </x:c>
      <x:c r="I78" s="28" t="n">
        <x:f>(C78*(1-'Global Inputs'!$B$14)+C79*'Global Inputs'!$B$14)*'Unit Economics'!F6</x:f>
        <x:v>0</x:v>
      </x:c>
      <x:c r="J78" s="28" t="n">
        <x:f>B78*'Unit Economics'!F41</x:f>
        <x:v>0</x:v>
      </x:c>
      <x:c r="K78" s="28" t="n">
        <x:f>'Global Inputs'!C42*'Unit Economics'!F7</x:f>
        <x:v>24000</x:v>
      </x:c>
      <x:c r="L78" s="28" t="n">
        <x:f>G78-SUM(H78:K78)</x:f>
        <x:v>-13706.25</x:v>
      </x:c>
      <x:c r="M78" s="28" t="n">
        <x:f>SUM(L69:L78)</x:f>
        <x:v>-583619.1584745764</x:v>
      </x:c>
      <x:c r="N78" s="28" t="n">
        <x:f>SUM(F69:F78)-(SUM(G69:G78)-SUM(E69:E78)+SUM(F69:F78))</x:f>
        <x:v>10293.75</x:v>
      </x:c>
    </x:row>
    <x:row r="79" ht="23" customHeight="1">
      <x:c r="A79" s="68" t="n">
        <x:f>11</x:f>
        <x:v>11</x:v>
      </x:c>
      <x:c r="B79" s="46" t="n">
        <x:f>ROUND('Unit Economics'!F4*'Global Inputs'!B43,0)</x:f>
        <x:v>0</x:v>
      </x:c>
      <x:c r="C79" s="46" t="n">
        <x:f>0</x:f>
        <x:v>0</x:v>
      </x:c>
      <x:c r="D79" s="46" t="n">
        <x:f>SUM(C69:C79)-SUM(B69:B79)</x:f>
        <x:v>556</x:v>
      </x:c>
      <x:c r="E79" s="28" t="n">
        <x:f>B79*'Unit Economics'!F19</x:f>
        <x:v>0</x:v>
      </x:c>
      <x:c r="F79" s="28" t="n">
        <x:f>B79*'Unit Economics'!F11*'Unit Economics'!F17</x:f>
        <x:v>0</x:v>
      </x:c>
      <x:c r="G79" s="28" t="n">
        <x:f>E79-F79+F77</x:f>
        <x:v>10293.75</x:v>
      </x:c>
      <x:c r="H79" s="28" t="n">
        <x:f>E79*'Global Inputs'!$B$5/(1+'Global Inputs'!$B$5)</x:f>
        <x:v>0</x:v>
      </x:c>
      <x:c r="I79" s="28" t="n">
        <x:f>(C79*(1-'Global Inputs'!$B$14)+C80*'Global Inputs'!$B$14)*'Unit Economics'!F6</x:f>
        <x:v>0</x:v>
      </x:c>
      <x:c r="J79" s="28" t="n">
        <x:f>B79*'Unit Economics'!F41</x:f>
        <x:v>0</x:v>
      </x:c>
      <x:c r="K79" s="28" t="n">
        <x:f>'Global Inputs'!C43*'Unit Economics'!F7</x:f>
        <x:v>24000</x:v>
      </x:c>
      <x:c r="L79" s="28" t="n">
        <x:f>G79-SUM(H79:K79)</x:f>
        <x:v>-13706.25</x:v>
      </x:c>
      <x:c r="M79" s="28" t="n">
        <x:f>SUM(L69:L79)</x:f>
        <x:v>-597325.4084745764</x:v>
      </x:c>
      <x:c r="N79" s="28" t="n">
        <x:f>SUM(F69:F79)-(SUM(G69:G79)-SUM(E69:E79)+SUM(F69:F79))</x:f>
        <x:v>0</x:v>
      </x:c>
    </x:row>
    <x:row r="80" ht="23" customHeight="1">
      <x:c r="A80" s="68" t="n">
        <x:f>12</x:f>
        <x:v>12</x:v>
      </x:c>
      <x:c r="B80" s="46" t="n">
        <x:f>ROUND('Unit Economics'!F4*'Global Inputs'!B44,0)</x:f>
        <x:v>0</x:v>
      </x:c>
      <x:c r="C80" s="46" t="n">
        <x:f>0</x:f>
        <x:v>0</x:v>
      </x:c>
      <x:c r="D80" s="46" t="n">
        <x:f>SUM(C69:C80)-SUM(B69:B80)</x:f>
        <x:v>556</x:v>
      </x:c>
      <x:c r="E80" s="28" t="n">
        <x:f>B80*'Unit Economics'!F19</x:f>
        <x:v>0</x:v>
      </x:c>
      <x:c r="F80" s="28" t="n">
        <x:f>B80*'Unit Economics'!F11*'Unit Economics'!F17</x:f>
        <x:v>0</x:v>
      </x:c>
      <x:c r="G80" s="28" t="n">
        <x:f>E80-F80+F78</x:f>
        <x:v>0</x:v>
      </x:c>
      <x:c r="H80" s="28" t="n">
        <x:f>E80*'Global Inputs'!$B$5/(1+'Global Inputs'!$B$5)</x:f>
        <x:v>0</x:v>
      </x:c>
      <x:c r="I80" s="28" t="n">
        <x:f>(C80*(1-'Global Inputs'!$B$14))*'Unit Economics'!F6</x:f>
        <x:v>0</x:v>
      </x:c>
      <x:c r="J80" s="28" t="n">
        <x:f>B80*'Unit Economics'!F41</x:f>
        <x:v>0</x:v>
      </x:c>
      <x:c r="K80" s="28" t="n">
        <x:f>'Global Inputs'!C44*'Unit Economics'!F7</x:f>
        <x:v>12000</x:v>
      </x:c>
      <x:c r="L80" s="28" t="n">
        <x:f>G80-SUM(H80:K80)</x:f>
        <x:v>-12000</x:v>
      </x:c>
      <x:c r="M80" s="28" t="n">
        <x:f>SUM(L69:L80)</x:f>
        <x:v>-609325.4084745764</x:v>
      </x:c>
      <x:c r="N80" s="28" t="n">
        <x:f>SUM(F69:F80)-(SUM(G69:G80)-SUM(E69:E80)+SUM(F69:F80))</x:f>
        <x:v>0</x:v>
      </x:c>
    </x:row>
    <x:row r="81" ht="23" customHeight="1">
      <x:c r="A81" s="4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</x:row>
    <x:row r="82" ht="23" customHeight="1">
      <x:c r="A82" s="4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</x:row>
    <x:row r="83" ht="30" customHeight="1">
      <x:c r="A83" s="7" t="str">
        <x:v>Optimistic | 5,000 retained books</x:v>
      </x:c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</x:row>
    <x:row r="84" ht="42" customHeight="1">
      <x:c r="A84" s="14" t="str">
        <x:v>Month</x:v>
      </x:c>
      <x:c r="B84" s="78" t="str">
        <x:v>Retained sales</x:v>
      </x:c>
      <x:c r="C84" s="78" t="str">
        <x:v>Print receipts</x:v>
      </x:c>
      <x:c r="D84" s="78" t="str">
        <x:v>Closing stock</x:v>
      </x:c>
      <x:c r="E84" s="78" t="str">
        <x:v>Gross invoiced</x:v>
      </x:c>
      <x:c r="F84" s="78" t="str">
        <x:v>Trade invoiced</x:v>
      </x:c>
      <x:c r="G84" s="78" t="str">
        <x:v>Cash receipts</x:v>
      </x:c>
      <x:c r="H84" s="78" t="str">
        <x:v>GST reserved</x:v>
      </x:c>
      <x:c r="I84" s="78" t="str">
        <x:v>Printer cash</x:v>
      </x:c>
      <x:c r="J84" s="78" t="str">
        <x:v>Other variable/reserved</x:v>
      </x:c>
      <x:c r="K84" s="78" t="str">
        <x:v>Fixed cash</x:v>
      </x:c>
      <x:c r="L84" s="78" t="str">
        <x:v>Net usable cash</x:v>
      </x:c>
      <x:c r="M84" s="78" t="str">
        <x:v>Cumulative cash</x:v>
      </x:c>
      <x:c r="N84" s="78" t="str">
        <x:v>Trade receivable</x:v>
      </x:c>
    </x:row>
    <x:row r="85" ht="23" customHeight="1">
      <x:c r="A85" s="68" t="n">
        <x:f>1</x:f>
        <x:v>1</x:v>
      </x:c>
      <x:c r="B85" s="46" t="n">
        <x:f>ROUND('Unit Economics'!G4*'Global Inputs'!B33,0)</x:f>
        <x:v>0</x:v>
      </x:c>
      <x:c r="C85" s="46" t="n">
        <x:f>0</x:f>
        <x:v>0</x:v>
      </x:c>
      <x:c r="D85" s="46" t="n">
        <x:f>SUM(C85:C85)-SUM(B85:B85)</x:f>
        <x:v>0</x:v>
      </x:c>
      <x:c r="E85" s="28" t="n">
        <x:f>B85*'Unit Economics'!G19</x:f>
        <x:v>0</x:v>
      </x:c>
      <x:c r="F85" s="28" t="n">
        <x:f>B85*'Unit Economics'!G11*'Unit Economics'!G17</x:f>
        <x:v>0</x:v>
      </x:c>
      <x:c r="G85" s="28" t="n">
        <x:f>E85-F85</x:f>
        <x:v>0</x:v>
      </x:c>
      <x:c r="H85" s="28" t="n">
        <x:f>E85*'Global Inputs'!$B$5/(1+'Global Inputs'!$B$5)</x:f>
        <x:v>0</x:v>
      </x:c>
      <x:c r="I85" s="28" t="n">
        <x:f>(C85*(1-'Global Inputs'!$B$14)+C86*'Global Inputs'!$B$14)*'Unit Economics'!G6</x:f>
        <x:v>90728</x:v>
      </x:c>
      <x:c r="J85" s="28" t="n">
        <x:f>B85*'Unit Economics'!G41</x:f>
        <x:v>0</x:v>
      </x:c>
      <x:c r="K85" s="28" t="n">
        <x:f>'Global Inputs'!C33*'Unit Economics'!G7</x:f>
        <x:v>350000</x:v>
      </x:c>
      <x:c r="L85" s="28" t="n">
        <x:f>G85-SUM(H85:K85)</x:f>
        <x:v>-440728</x:v>
      </x:c>
      <x:c r="M85" s="28" t="n">
        <x:f>SUM(L85:L85)</x:f>
        <x:v>-440728</x:v>
      </x:c>
      <x:c r="N85" s="28" t="n">
        <x:f>SUM(F85:F85)-(SUM(G85:G85)-SUM(E85:E85)+SUM(F85:F85))</x:f>
        <x:v>0</x:v>
      </x:c>
    </x:row>
    <x:row r="86" ht="23" customHeight="1">
      <x:c r="A86" s="68" t="n">
        <x:f>2</x:f>
        <x:v>2</x:v>
      </x:c>
      <x:c r="B86" s="46" t="n">
        <x:f>ROUND('Unit Economics'!G4*'Global Inputs'!B34,0)</x:f>
        <x:v>0</x:v>
      </x:c>
      <x:c r="C86" s="46" t="n">
        <x:f>ROUND('Unit Economics'!G5*'Global Inputs'!$B$15,0)</x:f>
        <x:v>2062</x:v>
      </x:c>
      <x:c r="D86" s="46" t="n">
        <x:f>SUM(C85:C86)-SUM(B85:B86)</x:f>
        <x:v>2062</x:v>
      </x:c>
      <x:c r="E86" s="28" t="n">
        <x:f>B86*'Unit Economics'!G19</x:f>
        <x:v>0</x:v>
      </x:c>
      <x:c r="F86" s="28" t="n">
        <x:f>B86*'Unit Economics'!G11*'Unit Economics'!G17</x:f>
        <x:v>0</x:v>
      </x:c>
      <x:c r="G86" s="28" t="n">
        <x:f>E86-F86</x:f>
        <x:v>0</x:v>
      </x:c>
      <x:c r="H86" s="28" t="n">
        <x:f>E86*'Global Inputs'!$B$5/(1+'Global Inputs'!$B$5)</x:f>
        <x:v>0</x:v>
      </x:c>
      <x:c r="I86" s="28" t="n">
        <x:f>(C86*(1-'Global Inputs'!$B$14)+C87*'Global Inputs'!$B$14)*'Unit Economics'!G6</x:f>
        <x:v>90728</x:v>
      </x:c>
      <x:c r="J86" s="28" t="n">
        <x:f>B86*'Unit Economics'!G41</x:f>
        <x:v>0</x:v>
      </x:c>
      <x:c r="K86" s="28" t="n">
        <x:f>'Global Inputs'!C34*'Unit Economics'!G7</x:f>
        <x:v>250000</x:v>
      </x:c>
      <x:c r="L86" s="28" t="n">
        <x:f>G86-SUM(H86:K86)</x:f>
        <x:v>-340728</x:v>
      </x:c>
      <x:c r="M86" s="28" t="n">
        <x:f>SUM(L85:L86)</x:f>
        <x:v>-781456</x:v>
      </x:c>
      <x:c r="N86" s="28" t="n">
        <x:f>SUM(F85:F86)-(SUM(G85:G86)-SUM(E85:E86)+SUM(F85:F86))</x:f>
        <x:v>0</x:v>
      </x:c>
    </x:row>
    <x:row r="87" ht="23" customHeight="1">
      <x:c r="A87" s="68" t="n">
        <x:f>3</x:f>
        <x:v>3</x:v>
      </x:c>
      <x:c r="B87" s="46" t="n">
        <x:f>ROUND('Unit Economics'!G4*'Global Inputs'!B35,0)</x:f>
        <x:v>500</x:v>
      </x:c>
      <x:c r="C87" s="46" t="n">
        <x:f>0</x:f>
        <x:v>0</x:v>
      </x:c>
      <x:c r="D87" s="46" t="n">
        <x:f>SUM(C85:C87)-SUM(B85:B87)</x:f>
        <x:v>1562</x:v>
      </x:c>
      <x:c r="E87" s="28" t="n">
        <x:f>B87*'Unit Economics'!G19</x:f>
        <x:v>233358.75000000003</x:v>
      </x:c>
      <x:c r="F87" s="28" t="n">
        <x:f>B87*'Unit Economics'!G11*'Unit Economics'!G17</x:f>
        <x:v>26763.75</x:v>
      </x:c>
      <x:c r="G87" s="28" t="n">
        <x:f>E87-F87+F85</x:f>
        <x:v>206595.00000000003</x:v>
      </x:c>
      <x:c r="H87" s="28" t="n">
        <x:f>E87*'Global Inputs'!$B$5/(1+'Global Inputs'!$B$5)</x:f>
        <x:v>35597.097457627126</x:v>
      </x:c>
      <x:c r="I87" s="28" t="n">
        <x:f>(C87*(1-'Global Inputs'!$B$14)+C88*'Global Inputs'!$B$14)*'Unit Economics'!G6</x:f>
        <x:v>79376</x:v>
      </x:c>
      <x:c r="J87" s="28" t="n">
        <x:f>B87*'Unit Economics'!G41</x:f>
        <x:v>52824.92</x:v>
      </x:c>
      <x:c r="K87" s="28" t="n">
        <x:f>'Global Inputs'!C35*'Unit Economics'!G7</x:f>
        <x:v>100000</x:v>
      </x:c>
      <x:c r="L87" s="28" t="n">
        <x:f>G87-SUM(H87:K87)</x:f>
        <x:v>-61203.01745762708</x:v>
      </x:c>
      <x:c r="M87" s="28" t="n">
        <x:f>SUM(L85:L87)</x:f>
        <x:v>-842659.0174576271</x:v>
      </x:c>
      <x:c r="N87" s="28" t="n">
        <x:f>SUM(F85:F87)-(SUM(G85:G87)-SUM(E85:E87)+SUM(F85:F87))</x:f>
        <x:v>26763.75</x:v>
      </x:c>
    </x:row>
    <x:row r="88" ht="23" customHeight="1">
      <x:c r="A88" s="68" t="n">
        <x:f>4</x:f>
        <x:v>4</x:v>
      </x:c>
      <x:c r="B88" s="46" t="n">
        <x:f>ROUND('Unit Economics'!G4*'Global Inputs'!B36,0)</x:f>
        <x:v>1500</x:v>
      </x:c>
      <x:c r="C88" s="46" t="n">
        <x:f>ROUND('Unit Economics'!G5*'Global Inputs'!$B$16,0)</x:f>
        <x:v>1804</x:v>
      </x:c>
      <x:c r="D88" s="46" t="n">
        <x:f>SUM(C85:C88)-SUM(B85:B88)</x:f>
        <x:v>1866</x:v>
      </x:c>
      <x:c r="E88" s="28" t="n">
        <x:f>B88*'Unit Economics'!G19</x:f>
        <x:v>700076.25</x:v>
      </x:c>
      <x:c r="F88" s="28" t="n">
        <x:f>B88*'Unit Economics'!G11*'Unit Economics'!G17</x:f>
        <x:v>80291.25</x:v>
      </x:c>
      <x:c r="G88" s="28" t="n">
        <x:f>E88-F88+F86</x:f>
        <x:v>619785</x:v>
      </x:c>
      <x:c r="H88" s="28" t="n">
        <x:f>E88*'Global Inputs'!$B$5/(1+'Global Inputs'!$B$5)</x:f>
        <x:v>106791.29237288135</x:v>
      </x:c>
      <x:c r="I88" s="28" t="n">
        <x:f>(C88*(1-'Global Inputs'!$B$14)+C89*'Global Inputs'!$B$14)*'Unit Economics'!G6</x:f>
        <x:v>136092</x:v>
      </x:c>
      <x:c r="J88" s="28" t="n">
        <x:f>B88*'Unit Economics'!G41</x:f>
        <x:v>158474.76</x:v>
      </x:c>
      <x:c r="K88" s="28" t="n">
        <x:f>'Global Inputs'!C36*'Unit Economics'!G7</x:f>
        <x:v>50000</x:v>
      </x:c>
      <x:c r="L88" s="28" t="n">
        <x:f>G88-SUM(H88:K88)</x:f>
        <x:v>168426.94762711867</x:v>
      </x:c>
      <x:c r="M88" s="28" t="n">
        <x:f>SUM(L85:L88)</x:f>
        <x:v>-674232.0698305084</x:v>
      </x:c>
      <x:c r="N88" s="28" t="n">
        <x:f>SUM(F85:F88)-(SUM(G85:G88)-SUM(E85:E88)+SUM(F85:F88))</x:f>
        <x:v>107055</x:v>
      </x:c>
    </x:row>
    <x:row r="89" ht="23" customHeight="1">
      <x:c r="A89" s="68" t="n">
        <x:f>5</x:f>
        <x:v>5</x:v>
      </x:c>
      <x:c r="B89" s="46" t="n">
        <x:f>ROUND('Unit Economics'!G4*'Global Inputs'!B37,0)</x:f>
        <x:v>1750</x:v>
      </x:c>
      <x:c r="C89" s="46" t="n">
        <x:f>'Unit Economics'!G5-SUM(C85:C88)</x:f>
        <x:v>1289</x:v>
      </x:c>
      <x:c r="D89" s="46" t="n">
        <x:f>SUM(C85:C89)-SUM(B85:B89)</x:f>
        <x:v>1405</x:v>
      </x:c>
      <x:c r="E89" s="28" t="n">
        <x:f>B89*'Unit Economics'!G19</x:f>
        <x:v>816755.625</x:v>
      </x:c>
      <x:c r="F89" s="28" t="n">
        <x:f>B89*'Unit Economics'!G11*'Unit Economics'!G17</x:f>
        <x:v>93673.125</x:v>
      </x:c>
      <x:c r="G89" s="28" t="n">
        <x:f>E89-F89+F87</x:f>
        <x:v>749846.25</x:v>
      </x:c>
      <x:c r="H89" s="28" t="n">
        <x:f>E89*'Global Inputs'!$B$5/(1+'Global Inputs'!$B$5)</x:f>
        <x:v>124589.84110169491</x:v>
      </x:c>
      <x:c r="I89" s="28" t="n">
        <x:f>(C89*(1-'Global Inputs'!$B$14)+C90*'Global Inputs'!$B$14)*'Unit Economics'!G6</x:f>
        <x:v>56716</x:v>
      </x:c>
      <x:c r="J89" s="28" t="n">
        <x:f>B89*'Unit Economics'!G41</x:f>
        <x:v>184887.22</x:v>
      </x:c>
      <x:c r="K89" s="28" t="n">
        <x:f>'Global Inputs'!C37*'Unit Economics'!G7</x:f>
        <x:v>50000</x:v>
      </x:c>
      <x:c r="L89" s="28" t="n">
        <x:f>G89-SUM(H89:K89)</x:f>
        <x:v>333653.18889830506</x:v>
      </x:c>
      <x:c r="M89" s="28" t="n">
        <x:f>SUM(L85:L89)</x:f>
        <x:v>-340578.8809322034</x:v>
      </x:c>
      <x:c r="N89" s="28" t="n">
        <x:f>SUM(F85:F89)-(SUM(G85:G89)-SUM(E85:E89)+SUM(F85:F89))</x:f>
        <x:v>173964.375</x:v>
      </x:c>
    </x:row>
    <x:row r="90" ht="23" customHeight="1">
      <x:c r="A90" s="68" t="n">
        <x:f>6</x:f>
        <x:v>6</x:v>
      </x:c>
      <x:c r="B90" s="46" t="n">
        <x:f>ROUND('Unit Economics'!G4*'Global Inputs'!B38,0)</x:f>
        <x:v>750</x:v>
      </x:c>
      <x:c r="C90" s="46" t="n">
        <x:f>0</x:f>
        <x:v>0</x:v>
      </x:c>
      <x:c r="D90" s="46" t="n">
        <x:f>SUM(C85:C90)-SUM(B85:B90)</x:f>
        <x:v>655</x:v>
      </x:c>
      <x:c r="E90" s="28" t="n">
        <x:f>B90*'Unit Economics'!G19</x:f>
        <x:v>350038.125</x:v>
      </x:c>
      <x:c r="F90" s="28" t="n">
        <x:f>B90*'Unit Economics'!G11*'Unit Economics'!G17</x:f>
        <x:v>40145.625</x:v>
      </x:c>
      <x:c r="G90" s="28" t="n">
        <x:f>E90-F90+F88</x:f>
        <x:v>390183.75</x:v>
      </x:c>
      <x:c r="H90" s="28" t="n">
        <x:f>E90*'Global Inputs'!$B$5/(1+'Global Inputs'!$B$5)</x:f>
        <x:v>53395.646186440674</x:v>
      </x:c>
      <x:c r="I90" s="28" t="n">
        <x:f>(C90*(1-'Global Inputs'!$B$14)+C91*'Global Inputs'!$B$14)*'Unit Economics'!G6</x:f>
        <x:v>0</x:v>
      </x:c>
      <x:c r="J90" s="28" t="n">
        <x:f>B90*'Unit Economics'!G41</x:f>
        <x:v>79237.38</x:v>
      </x:c>
      <x:c r="K90" s="28" t="n">
        <x:f>'Global Inputs'!C38*'Unit Economics'!G7</x:f>
        <x:v>50000</x:v>
      </x:c>
      <x:c r="L90" s="28" t="n">
        <x:f>G90-SUM(H90:K90)</x:f>
        <x:v>207550.72381355934</x:v>
      </x:c>
      <x:c r="M90" s="28" t="n">
        <x:f>SUM(L85:L90)</x:f>
        <x:v>-133028.15711864404</x:v>
      </x:c>
      <x:c r="N90" s="28" t="n">
        <x:f>SUM(F85:F90)-(SUM(G85:G90)-SUM(E85:E90)+SUM(F85:F90))</x:f>
        <x:v>133818.75</x:v>
      </x:c>
    </x:row>
    <x:row r="91" ht="23" customHeight="1">
      <x:c r="A91" s="68" t="n">
        <x:f>7</x:f>
        <x:v>7</x:v>
      </x:c>
      <x:c r="B91" s="46" t="n">
        <x:f>ROUND('Unit Economics'!G4*'Global Inputs'!B39,0)</x:f>
        <x:v>250</x:v>
      </x:c>
      <x:c r="C91" s="46" t="n">
        <x:f>0</x:f>
        <x:v>0</x:v>
      </x:c>
      <x:c r="D91" s="46" t="n">
        <x:f>SUM(C85:C91)-SUM(B85:B91)</x:f>
        <x:v>405</x:v>
      </x:c>
      <x:c r="E91" s="28" t="n">
        <x:f>B91*'Unit Economics'!G19</x:f>
        <x:v>116679.37500000001</x:v>
      </x:c>
      <x:c r="F91" s="28" t="n">
        <x:f>B91*'Unit Economics'!G11*'Unit Economics'!G17</x:f>
        <x:v>13381.875</x:v>
      </x:c>
      <x:c r="G91" s="28" t="n">
        <x:f>E91-F91+F89</x:f>
        <x:v>196970.625</x:v>
      </x:c>
      <x:c r="H91" s="28" t="n">
        <x:f>E91*'Global Inputs'!$B$5/(1+'Global Inputs'!$B$5)</x:f>
        <x:v>17798.548728813563</x:v>
      </x:c>
      <x:c r="I91" s="28" t="n">
        <x:f>(C91*(1-'Global Inputs'!$B$14)+C92*'Global Inputs'!$B$14)*'Unit Economics'!G6</x:f>
        <x:v>0</x:v>
      </x:c>
      <x:c r="J91" s="28" t="n">
        <x:f>B91*'Unit Economics'!G41</x:f>
        <x:v>26412.46</x:v>
      </x:c>
      <x:c r="K91" s="28" t="n">
        <x:f>'Global Inputs'!C39*'Unit Economics'!G7</x:f>
        <x:v>40000</x:v>
      </x:c>
      <x:c r="L91" s="28" t="n">
        <x:f>G91-SUM(H91:K91)</x:f>
        <x:v>112759.61627118645</x:v>
      </x:c>
      <x:c r="M91" s="28" t="n">
        <x:f>SUM(L85:L91)</x:f>
        <x:v>-20268.540847457596</x:v>
      </x:c>
      <x:c r="N91" s="28" t="n">
        <x:f>SUM(F85:F91)-(SUM(G85:G91)-SUM(E85:E91)+SUM(F85:F91))</x:f>
        <x:v>53527.5</x:v>
      </x:c>
    </x:row>
    <x:row r="92" ht="23" customHeight="1">
      <x:c r="A92" s="68" t="n">
        <x:f>8</x:f>
        <x:v>8</x:v>
      </x:c>
      <x:c r="B92" s="46" t="n">
        <x:f>ROUND('Unit Economics'!G4*'Global Inputs'!B40,0)</x:f>
        <x:v>125</x:v>
      </x:c>
      <x:c r="C92" s="46" t="n">
        <x:f>0</x:f>
        <x:v>0</x:v>
      </x:c>
      <x:c r="D92" s="46" t="n">
        <x:f>SUM(C85:C92)-SUM(B85:B92)</x:f>
        <x:v>280</x:v>
      </x:c>
      <x:c r="E92" s="28" t="n">
        <x:f>B92*'Unit Economics'!G19</x:f>
        <x:v>58339.68750000001</x:v>
      </x:c>
      <x:c r="F92" s="28" t="n">
        <x:f>B92*'Unit Economics'!G11*'Unit Economics'!G17</x:f>
        <x:v>6690.9375</x:v>
      </x:c>
      <x:c r="G92" s="28" t="n">
        <x:f>E92-F92+F90</x:f>
        <x:v>91794.375</x:v>
      </x:c>
      <x:c r="H92" s="28" t="n">
        <x:f>E92*'Global Inputs'!$B$5/(1+'Global Inputs'!$B$5)</x:f>
        <x:v>8899.274364406781</x:v>
      </x:c>
      <x:c r="I92" s="28" t="n">
        <x:f>(C92*(1-'Global Inputs'!$B$14)+C93*'Global Inputs'!$B$14)*'Unit Economics'!G6</x:f>
        <x:v>0</x:v>
      </x:c>
      <x:c r="J92" s="28" t="n">
        <x:f>B92*'Unit Economics'!G41</x:f>
        <x:v>13206.23</x:v>
      </x:c>
      <x:c r="K92" s="28" t="n">
        <x:f>'Global Inputs'!C40*'Unit Economics'!G7</x:f>
        <x:v>40000</x:v>
      </x:c>
      <x:c r="L92" s="28" t="n">
        <x:f>G92-SUM(H92:K92)</x:f>
        <x:v>29688.870635593223</x:v>
      </x:c>
      <x:c r="M92" s="28" t="n">
        <x:f>SUM(L85:L92)</x:f>
        <x:v>9420.329788135627</x:v>
      </x:c>
      <x:c r="N92" s="28" t="n">
        <x:f>SUM(F85:F92)-(SUM(G85:G92)-SUM(E85:E92)+SUM(F85:F92))</x:f>
        <x:v>20072.8125</x:v>
      </x:c>
    </x:row>
    <x:row r="93" ht="23" customHeight="1">
      <x:c r="A93" s="68" t="n">
        <x:f>9</x:f>
        <x:v>9</x:v>
      </x:c>
      <x:c r="B93" s="46" t="n">
        <x:f>'Unit Economics'!G4-SUM(B85:B92)</x:f>
        <x:v>125</x:v>
      </x:c>
      <x:c r="C93" s="46" t="n">
        <x:f>0</x:f>
        <x:v>0</x:v>
      </x:c>
      <x:c r="D93" s="46" t="n">
        <x:f>SUM(C85:C93)-SUM(B85:B93)</x:f>
        <x:v>155</x:v>
      </x:c>
      <x:c r="E93" s="28" t="n">
        <x:f>B93*'Unit Economics'!G19</x:f>
        <x:v>58339.68750000001</x:v>
      </x:c>
      <x:c r="F93" s="28" t="n">
        <x:f>B93*'Unit Economics'!G11*'Unit Economics'!G17</x:f>
        <x:v>6690.9375</x:v>
      </x:c>
      <x:c r="G93" s="28" t="n">
        <x:f>E93-F93+F91</x:f>
        <x:v>65030.62500000001</x:v>
      </x:c>
      <x:c r="H93" s="28" t="n">
        <x:f>E93*'Global Inputs'!$B$5/(1+'Global Inputs'!$B$5)</x:f>
        <x:v>8899.274364406781</x:v>
      </x:c>
      <x:c r="I93" s="28" t="n">
        <x:f>(C93*(1-'Global Inputs'!$B$14)+C94*'Global Inputs'!$B$14)*'Unit Economics'!G6</x:f>
        <x:v>0</x:v>
      </x:c>
      <x:c r="J93" s="28" t="n">
        <x:f>B93*'Unit Economics'!G41</x:f>
        <x:v>13206.23</x:v>
      </x:c>
      <x:c r="K93" s="28" t="n">
        <x:f>'Global Inputs'!C41*'Unit Economics'!G7</x:f>
        <x:v>20000</x:v>
      </x:c>
      <x:c r="L93" s="28" t="n">
        <x:f>G93-SUM(H93:K93)</x:f>
        <x:v>22925.12063559323</x:v>
      </x:c>
      <x:c r="M93" s="28" t="n">
        <x:f>SUM(L85:L93)</x:f>
        <x:v>32345.450423728857</x:v>
      </x:c>
      <x:c r="N93" s="28" t="n">
        <x:f>SUM(F85:F93)-(SUM(G85:G93)-SUM(E85:E93)+SUM(F85:F93))</x:f>
        <x:v>13381.875</x:v>
      </x:c>
    </x:row>
    <x:row r="94" ht="23" customHeight="1">
      <x:c r="A94" s="68" t="n">
        <x:f>10</x:f>
        <x:v>10</x:v>
      </x:c>
      <x:c r="B94" s="46" t="n">
        <x:f>ROUND('Unit Economics'!G4*'Global Inputs'!B42,0)</x:f>
        <x:v>0</x:v>
      </x:c>
      <x:c r="C94" s="46" t="n">
        <x:f>0</x:f>
        <x:v>0</x:v>
      </x:c>
      <x:c r="D94" s="46" t="n">
        <x:f>SUM(C85:C94)-SUM(B85:B94)</x:f>
        <x:v>155</x:v>
      </x:c>
      <x:c r="E94" s="28" t="n">
        <x:f>B94*'Unit Economics'!G19</x:f>
        <x:v>0</x:v>
      </x:c>
      <x:c r="F94" s="28" t="n">
        <x:f>B94*'Unit Economics'!G11*'Unit Economics'!G17</x:f>
        <x:v>0</x:v>
      </x:c>
      <x:c r="G94" s="28" t="n">
        <x:f>E94-F94+F92</x:f>
        <x:v>6690.9375</x:v>
      </x:c>
      <x:c r="H94" s="28" t="n">
        <x:f>E94*'Global Inputs'!$B$5/(1+'Global Inputs'!$B$5)</x:f>
        <x:v>0</x:v>
      </x:c>
      <x:c r="I94" s="28" t="n">
        <x:f>(C94*(1-'Global Inputs'!$B$14)+C95*'Global Inputs'!$B$14)*'Unit Economics'!G6</x:f>
        <x:v>0</x:v>
      </x:c>
      <x:c r="J94" s="28" t="n">
        <x:f>B94*'Unit Economics'!G41</x:f>
        <x:v>0</x:v>
      </x:c>
      <x:c r="K94" s="28" t="n">
        <x:f>'Global Inputs'!C42*'Unit Economics'!G7</x:f>
        <x:v>20000</x:v>
      </x:c>
      <x:c r="L94" s="28" t="n">
        <x:f>G94-SUM(H94:K94)</x:f>
        <x:v>-13309.0625</x:v>
      </x:c>
      <x:c r="M94" s="28" t="n">
        <x:f>SUM(L85:L94)</x:f>
        <x:v>19036.387923728857</x:v>
      </x:c>
      <x:c r="N94" s="28" t="n">
        <x:f>SUM(F85:F94)-(SUM(G85:G94)-SUM(E85:E94)+SUM(F85:F94))</x:f>
        <x:v>6690.9375</x:v>
      </x:c>
    </x:row>
    <x:row r="95" ht="23" customHeight="1">
      <x:c r="A95" s="68" t="n">
        <x:f>11</x:f>
        <x:v>11</x:v>
      </x:c>
      <x:c r="B95" s="46" t="n">
        <x:f>ROUND('Unit Economics'!G4*'Global Inputs'!B43,0)</x:f>
        <x:v>0</x:v>
      </x:c>
      <x:c r="C95" s="46" t="n">
        <x:f>0</x:f>
        <x:v>0</x:v>
      </x:c>
      <x:c r="D95" s="46" t="n">
        <x:f>SUM(C85:C95)-SUM(B85:B95)</x:f>
        <x:v>155</x:v>
      </x:c>
      <x:c r="E95" s="28" t="n">
        <x:f>B95*'Unit Economics'!G19</x:f>
        <x:v>0</x:v>
      </x:c>
      <x:c r="F95" s="28" t="n">
        <x:f>B95*'Unit Economics'!G11*'Unit Economics'!G17</x:f>
        <x:v>0</x:v>
      </x:c>
      <x:c r="G95" s="28" t="n">
        <x:f>E95-F95+F93</x:f>
        <x:v>6690.9375</x:v>
      </x:c>
      <x:c r="H95" s="28" t="n">
        <x:f>E95*'Global Inputs'!$B$5/(1+'Global Inputs'!$B$5)</x:f>
        <x:v>0</x:v>
      </x:c>
      <x:c r="I95" s="28" t="n">
        <x:f>(C95*(1-'Global Inputs'!$B$14)+C96*'Global Inputs'!$B$14)*'Unit Economics'!G6</x:f>
        <x:v>0</x:v>
      </x:c>
      <x:c r="J95" s="28" t="n">
        <x:f>B95*'Unit Economics'!G41</x:f>
        <x:v>0</x:v>
      </x:c>
      <x:c r="K95" s="28" t="n">
        <x:f>'Global Inputs'!C43*'Unit Economics'!G7</x:f>
        <x:v>20000</x:v>
      </x:c>
      <x:c r="L95" s="28" t="n">
        <x:f>G95-SUM(H95:K95)</x:f>
        <x:v>-13309.0625</x:v>
      </x:c>
      <x:c r="M95" s="28" t="n">
        <x:f>SUM(L85:L95)</x:f>
        <x:v>5727.325423728857</x:v>
      </x:c>
      <x:c r="N95" s="28" t="n">
        <x:f>SUM(F85:F95)-(SUM(G85:G95)-SUM(E85:E95)+SUM(F85:F95))</x:f>
        <x:v>0</x:v>
      </x:c>
    </x:row>
    <x:row r="96" ht="23" customHeight="1">
      <x:c r="A96" s="68" t="n">
        <x:f>12</x:f>
        <x:v>12</x:v>
      </x:c>
      <x:c r="B96" s="46" t="n">
        <x:f>ROUND('Unit Economics'!G4*'Global Inputs'!B44,0)</x:f>
        <x:v>0</x:v>
      </x:c>
      <x:c r="C96" s="46" t="n">
        <x:f>0</x:f>
        <x:v>0</x:v>
      </x:c>
      <x:c r="D96" s="46" t="n">
        <x:f>SUM(C85:C96)-SUM(B85:B96)</x:f>
        <x:v>155</x:v>
      </x:c>
      <x:c r="E96" s="28" t="n">
        <x:f>B96*'Unit Economics'!G19</x:f>
        <x:v>0</x:v>
      </x:c>
      <x:c r="F96" s="28" t="n">
        <x:f>B96*'Unit Economics'!G11*'Unit Economics'!G17</x:f>
        <x:v>0</x:v>
      </x:c>
      <x:c r="G96" s="28" t="n">
        <x:f>E96-F96+F94</x:f>
        <x:v>0</x:v>
      </x:c>
      <x:c r="H96" s="28" t="n">
        <x:f>E96*'Global Inputs'!$B$5/(1+'Global Inputs'!$B$5)</x:f>
        <x:v>0</x:v>
      </x:c>
      <x:c r="I96" s="28" t="n">
        <x:f>(C96*(1-'Global Inputs'!$B$14))*'Unit Economics'!G6</x:f>
        <x:v>0</x:v>
      </x:c>
      <x:c r="J96" s="28" t="n">
        <x:f>B96*'Unit Economics'!G41</x:f>
        <x:v>0</x:v>
      </x:c>
      <x:c r="K96" s="28" t="n">
        <x:f>'Global Inputs'!C44*'Unit Economics'!G7</x:f>
        <x:v>10000</x:v>
      </x:c>
      <x:c r="L96" s="28" t="n">
        <x:f>G96-SUM(H96:K96)</x:f>
        <x:v>-10000</x:v>
      </x:c>
      <x:c r="M96" s="28" t="n">
        <x:f>SUM(L85:L96)</x:f>
        <x:v>-4272.674576271143</x:v>
      </x:c>
      <x:c r="N96" s="28" t="n">
        <x:f>SUM(F85:F96)-(SUM(G85:G96)-SUM(E85:E96)+SUM(F85:F96))</x:f>
        <x:v>0</x:v>
      </x:c>
    </x:row>
    <x:row r="97" ht="23" customHeight="1">
      <x:c r="A97" s="4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</x:row>
    <x:row r="98" ht="23" customHeight="1">
      <x:c r="A98" s="4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</x:row>
    <x:row r="99" ht="30" customHeight="1">
      <x:c r="A99" s="7" t="str">
        <x:v>Conservative | 50,000 retained books</x:v>
      </x:c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</x:row>
    <x:row r="100" ht="42" customHeight="1">
      <x:c r="A100" s="14" t="str">
        <x:v>Month</x:v>
      </x:c>
      <x:c r="B100" s="78" t="str">
        <x:v>Retained sales</x:v>
      </x:c>
      <x:c r="C100" s="78" t="str">
        <x:v>Print receipts</x:v>
      </x:c>
      <x:c r="D100" s="78" t="str">
        <x:v>Closing stock</x:v>
      </x:c>
      <x:c r="E100" s="78" t="str">
        <x:v>Gross invoiced</x:v>
      </x:c>
      <x:c r="F100" s="78" t="str">
        <x:v>Trade invoiced</x:v>
      </x:c>
      <x:c r="G100" s="78" t="str">
        <x:v>Cash receipts</x:v>
      </x:c>
      <x:c r="H100" s="78" t="str">
        <x:v>GST reserved</x:v>
      </x:c>
      <x:c r="I100" s="78" t="str">
        <x:v>Printer cash</x:v>
      </x:c>
      <x:c r="J100" s="78" t="str">
        <x:v>Other variable/reserved</x:v>
      </x:c>
      <x:c r="K100" s="78" t="str">
        <x:v>Fixed cash</x:v>
      </x:c>
      <x:c r="L100" s="78" t="str">
        <x:v>Net usable cash</x:v>
      </x:c>
      <x:c r="M100" s="78" t="str">
        <x:v>Cumulative cash</x:v>
      </x:c>
      <x:c r="N100" s="78" t="str">
        <x:v>Trade receivable</x:v>
      </x:c>
    </x:row>
    <x:row r="101" ht="23" customHeight="1">
      <x:c r="A101" s="68" t="n">
        <x:f>1</x:f>
        <x:v>1</x:v>
      </x:c>
      <x:c r="B101" s="46" t="n">
        <x:f>ROUND('Unit Economics'!H4*'Global Inputs'!B33,0)</x:f>
        <x:v>0</x:v>
      </x:c>
      <x:c r="C101" s="46" t="n">
        <x:f>0</x:f>
        <x:v>0</x:v>
      </x:c>
      <x:c r="D101" s="46" t="n">
        <x:f>SUM(C101:C101)-SUM(B101:B101)</x:f>
        <x:v>0</x:v>
      </x:c>
      <x:c r="E101" s="28" t="n">
        <x:f>B101*'Unit Economics'!H19</x:f>
        <x:v>0</x:v>
      </x:c>
      <x:c r="F101" s="28" t="n">
        <x:f>B101*'Unit Economics'!H11*'Unit Economics'!H17</x:f>
        <x:v>0</x:v>
      </x:c>
      <x:c r="G101" s="28" t="n">
        <x:f>E101-F101</x:f>
        <x:v>0</x:v>
      </x:c>
      <x:c r="H101" s="28" t="n">
        <x:f>E101*'Global Inputs'!$B$5/(1+'Global Inputs'!$B$5)</x:f>
        <x:v>0</x:v>
      </x:c>
      <x:c r="I101" s="28" t="n">
        <x:f>(C101*(1-'Global Inputs'!$B$14)+C102*'Global Inputs'!$B$14)*'Unit Economics'!H6</x:f>
        <x:v>1266682.5</x:v>
      </x:c>
      <x:c r="J101" s="28" t="n">
        <x:f>B101*'Unit Economics'!H41</x:f>
        <x:v>0</x:v>
      </x:c>
      <x:c r="K101" s="28" t="n">
        <x:f>'Global Inputs'!C33*'Unit Economics'!H7</x:f>
        <x:v>1750000</x:v>
      </x:c>
      <x:c r="L101" s="28" t="n">
        <x:f>G101-SUM(H101:K101)</x:f>
        <x:v>-3016682.5</x:v>
      </x:c>
      <x:c r="M101" s="28" t="n">
        <x:f>SUM(L101:L101)</x:f>
        <x:v>-3016682.5</x:v>
      </x:c>
      <x:c r="N101" s="28" t="n">
        <x:f>SUM(F101:F101)-(SUM(G101:G101)-SUM(E101:E101)+SUM(F101:F101))</x:f>
        <x:v>0</x:v>
      </x:c>
    </x:row>
    <x:row r="102" ht="23" customHeight="1">
      <x:c r="A102" s="68" t="n">
        <x:f>2</x:f>
        <x:v>2</x:v>
      </x:c>
      <x:c r="B102" s="46" t="n">
        <x:f>ROUND('Unit Economics'!H4*'Global Inputs'!B34,0)</x:f>
        <x:v>0</x:v>
      </x:c>
      <x:c r="C102" s="46" t="n">
        <x:f>ROUND('Unit Economics'!H5*'Global Inputs'!$B$15,0)</x:f>
        <x:v>26667</x:v>
      </x:c>
      <x:c r="D102" s="46" t="n">
        <x:f>SUM(C101:C102)-SUM(B101:B102)</x:f>
        <x:v>26667</x:v>
      </x:c>
      <x:c r="E102" s="28" t="n">
        <x:f>B102*'Unit Economics'!H19</x:f>
        <x:v>0</x:v>
      </x:c>
      <x:c r="F102" s="28" t="n">
        <x:f>B102*'Unit Economics'!H11*'Unit Economics'!H17</x:f>
        <x:v>0</x:v>
      </x:c>
      <x:c r="G102" s="28" t="n">
        <x:f>E102-F102</x:f>
        <x:v>0</x:v>
      </x:c>
      <x:c r="H102" s="28" t="n">
        <x:f>E102*'Global Inputs'!$B$5/(1+'Global Inputs'!$B$5)</x:f>
        <x:v>0</x:v>
      </x:c>
      <x:c r="I102" s="28" t="n">
        <x:f>(C102*(1-'Global Inputs'!$B$14)+C103*'Global Inputs'!$B$14)*'Unit Economics'!H6</x:f>
        <x:v>1266682.5</x:v>
      </x:c>
      <x:c r="J102" s="28" t="n">
        <x:f>B102*'Unit Economics'!H41</x:f>
        <x:v>0</x:v>
      </x:c>
      <x:c r="K102" s="28" t="n">
        <x:f>'Global Inputs'!C34*'Unit Economics'!H7</x:f>
        <x:v>1250000</x:v>
      </x:c>
      <x:c r="L102" s="28" t="n">
        <x:f>G102-SUM(H102:K102)</x:f>
        <x:v>-2516682.5</x:v>
      </x:c>
      <x:c r="M102" s="28" t="n">
        <x:f>SUM(L101:L102)</x:f>
        <x:v>-5533365</x:v>
      </x:c>
      <x:c r="N102" s="28" t="n">
        <x:f>SUM(F101:F102)-(SUM(G101:G102)-SUM(E101:E102)+SUM(F101:F102))</x:f>
        <x:v>0</x:v>
      </x:c>
    </x:row>
    <x:row r="103" ht="23" customHeight="1">
      <x:c r="A103" s="68" t="n">
        <x:f>3</x:f>
        <x:v>3</x:v>
      </x:c>
      <x:c r="B103" s="46" t="n">
        <x:f>ROUND('Unit Economics'!H4*'Global Inputs'!B35,0)</x:f>
        <x:v>5000</x:v>
      </x:c>
      <x:c r="C103" s="46" t="n">
        <x:f>0</x:f>
        <x:v>0</x:v>
      </x:c>
      <x:c r="D103" s="46" t="n">
        <x:f>SUM(C101:C103)-SUM(B101:B103)</x:f>
        <x:v>21667</x:v>
      </x:c>
      <x:c r="E103" s="28" t="n">
        <x:f>B103*'Unit Economics'!H19</x:f>
        <x:v>1892962.4999999998</x:v>
      </x:c>
      <x:c r="F103" s="28" t="n">
        <x:f>B103*'Unit Economics'!H11*'Unit Economics'!H17</x:f>
        <x:v>528412.5000000001</x:v>
      </x:c>
      <x:c r="G103" s="28" t="n">
        <x:f>E103-F103+F101</x:f>
        <x:v>1364549.9999999995</x:v>
      </x:c>
      <x:c r="H103" s="28" t="n">
        <x:f>E103*'Global Inputs'!$B$5/(1+'Global Inputs'!$B$5)</x:f>
        <x:v>288756.9915254237</x:v>
      </x:c>
      <x:c r="I103" s="28" t="n">
        <x:f>(C103*(1-'Global Inputs'!$B$14)+C104*'Global Inputs'!$B$14)*'Unit Economics'!H6</x:f>
        <x:v>1108317.5</x:v>
      </x:c>
      <x:c r="J103" s="28" t="n">
        <x:f>B103*'Unit Economics'!H41</x:f>
        <x:v>829386.6</x:v>
      </x:c>
      <x:c r="K103" s="28" t="n">
        <x:f>'Global Inputs'!C35*'Unit Economics'!H7</x:f>
        <x:v>500000</x:v>
      </x:c>
      <x:c r="L103" s="28" t="n">
        <x:f>G103-SUM(H103:K103)</x:f>
        <x:v>-1361911.0915254243</x:v>
      </x:c>
      <x:c r="M103" s="28" t="n">
        <x:f>SUM(L101:L103)</x:f>
        <x:v>-6895276.091525424</x:v>
      </x:c>
      <x:c r="N103" s="28" t="n">
        <x:f>SUM(F101:F103)-(SUM(G101:G103)-SUM(E101:E103)+SUM(F101:F103))</x:f>
        <x:v>528412.5000000002</x:v>
      </x:c>
    </x:row>
    <x:row r="104" ht="23" customHeight="1">
      <x:c r="A104" s="68" t="n">
        <x:f>4</x:f>
        <x:v>4</x:v>
      </x:c>
      <x:c r="B104" s="46" t="n">
        <x:f>ROUND('Unit Economics'!H4*'Global Inputs'!B36,0)</x:f>
        <x:v>15000</x:v>
      </x:c>
      <x:c r="C104" s="46" t="n">
        <x:f>ROUND('Unit Economics'!H5*'Global Inputs'!$B$16,0)</x:f>
        <x:v>23333</x:v>
      </x:c>
      <x:c r="D104" s="46" t="n">
        <x:f>SUM(C101:C104)-SUM(B101:B104)</x:f>
        <x:v>30000</x:v>
      </x:c>
      <x:c r="E104" s="28" t="n">
        <x:f>B104*'Unit Economics'!H19</x:f>
        <x:v>5678887.5</x:v>
      </x:c>
      <x:c r="F104" s="28" t="n">
        <x:f>B104*'Unit Economics'!H11*'Unit Economics'!H17</x:f>
        <x:v>1585237.5000000002</x:v>
      </x:c>
      <x:c r="G104" s="28" t="n">
        <x:f>E104-F104+F102</x:f>
        <x:v>4093650</x:v>
      </x:c>
      <x:c r="H104" s="28" t="n">
        <x:f>E104*'Global Inputs'!$B$5/(1+'Global Inputs'!$B$5)</x:f>
        <x:v>866270.9745762713</x:v>
      </x:c>
      <x:c r="I104" s="28" t="n">
        <x:f>(C104*(1-'Global Inputs'!$B$14)+C105*'Global Inputs'!$B$14)*'Unit Economics'!H6</x:f>
        <x:v>1900000</x:v>
      </x:c>
      <x:c r="J104" s="28" t="n">
        <x:f>B104*'Unit Economics'!H41</x:f>
        <x:v>2488159.8</x:v>
      </x:c>
      <x:c r="K104" s="28" t="n">
        <x:f>'Global Inputs'!C36*'Unit Economics'!H7</x:f>
        <x:v>250000</x:v>
      </x:c>
      <x:c r="L104" s="28" t="n">
        <x:f>G104-SUM(H104:K104)</x:f>
        <x:v>-1410780.774576271</x:v>
      </x:c>
      <x:c r="M104" s="28" t="n">
        <x:f>SUM(L101:L104)</x:f>
        <x:v>-8306056.866101695</x:v>
      </x:c>
      <x:c r="N104" s="28" t="n">
        <x:f>SUM(F101:F104)-(SUM(G101:G104)-SUM(E101:E104)+SUM(F101:F104))</x:f>
        <x:v>2113650</x:v>
      </x:c>
    </x:row>
    <x:row r="105" ht="23" customHeight="1">
      <x:c r="A105" s="68" t="n">
        <x:f>5</x:f>
        <x:v>5</x:v>
      </x:c>
      <x:c r="B105" s="46" t="n">
        <x:f>ROUND('Unit Economics'!H4*'Global Inputs'!B37,0)</x:f>
        <x:v>17500</x:v>
      </x:c>
      <x:c r="C105" s="46" t="n">
        <x:f>'Unit Economics'!H5-SUM(C101:C104)</x:f>
        <x:v>16667</x:v>
      </x:c>
      <x:c r="D105" s="46" t="n">
        <x:f>SUM(C101:C105)-SUM(B101:B105)</x:f>
        <x:v>29167</x:v>
      </x:c>
      <x:c r="E105" s="28" t="n">
        <x:f>B105*'Unit Economics'!H19</x:f>
        <x:v>6625368.749999999</x:v>
      </x:c>
      <x:c r="F105" s="28" t="n">
        <x:f>B105*'Unit Economics'!H11*'Unit Economics'!H17</x:f>
        <x:v>1849443.7500000002</x:v>
      </x:c>
      <x:c r="G105" s="28" t="n">
        <x:f>E105-F105+F103</x:f>
        <x:v>5304337.499999999</x:v>
      </x:c>
      <x:c r="H105" s="28" t="n">
        <x:f>E105*'Global Inputs'!$B$5/(1+'Global Inputs'!$B$5)</x:f>
        <x:v>1010649.4703389829</x:v>
      </x:c>
      <x:c r="I105" s="28" t="n">
        <x:f>(C105*(1-'Global Inputs'!$B$14)+C106*'Global Inputs'!$B$14)*'Unit Economics'!H6</x:f>
        <x:v>791682.5</x:v>
      </x:c>
      <x:c r="J105" s="28" t="n">
        <x:f>B105*'Unit Economics'!H41</x:f>
        <x:v>2902853.1</x:v>
      </x:c>
      <x:c r="K105" s="28" t="n">
        <x:f>'Global Inputs'!C37*'Unit Economics'!H7</x:f>
        <x:v>250000</x:v>
      </x:c>
      <x:c r="L105" s="28" t="n">
        <x:f>G105-SUM(H105:K105)</x:f>
        <x:v>349152.429661016</x:v>
      </x:c>
      <x:c r="M105" s="28" t="n">
        <x:f>SUM(L101:L105)</x:f>
        <x:v>-7956904.436440679</x:v>
      </x:c>
      <x:c r="N105" s="28" t="n">
        <x:f>SUM(F101:F105)-(SUM(G101:G105)-SUM(E101:E105)+SUM(F101:F105))</x:f>
        <x:v>3434681.25</x:v>
      </x:c>
    </x:row>
    <x:row r="106" ht="23" customHeight="1">
      <x:c r="A106" s="68" t="n">
        <x:f>6</x:f>
        <x:v>6</x:v>
      </x:c>
      <x:c r="B106" s="46" t="n">
        <x:f>ROUND('Unit Economics'!H4*'Global Inputs'!B38,0)</x:f>
        <x:v>7500</x:v>
      </x:c>
      <x:c r="C106" s="46" t="n">
        <x:f>0</x:f>
        <x:v>0</x:v>
      </x:c>
      <x:c r="D106" s="46" t="n">
        <x:f>SUM(C101:C106)-SUM(B101:B106)</x:f>
        <x:v>21667</x:v>
      </x:c>
      <x:c r="E106" s="28" t="n">
        <x:f>B106*'Unit Economics'!H19</x:f>
        <x:v>2839443.75</x:v>
      </x:c>
      <x:c r="F106" s="28" t="n">
        <x:f>B106*'Unit Economics'!H11*'Unit Economics'!H17</x:f>
        <x:v>792618.7500000001</x:v>
      </x:c>
      <x:c r="G106" s="28" t="n">
        <x:f>E106-F106+F104</x:f>
        <x:v>3632062.5</x:v>
      </x:c>
      <x:c r="H106" s="28" t="n">
        <x:f>E106*'Global Inputs'!$B$5/(1+'Global Inputs'!$B$5)</x:f>
        <x:v>433135.4872881356</x:v>
      </x:c>
      <x:c r="I106" s="28" t="n">
        <x:f>(C106*(1-'Global Inputs'!$B$14)+C107*'Global Inputs'!$B$14)*'Unit Economics'!H6</x:f>
        <x:v>0</x:v>
      </x:c>
      <x:c r="J106" s="28" t="n">
        <x:f>B106*'Unit Economics'!H41</x:f>
        <x:v>1244079.9</x:v>
      </x:c>
      <x:c r="K106" s="28" t="n">
        <x:f>'Global Inputs'!C38*'Unit Economics'!H7</x:f>
        <x:v>250000</x:v>
      </x:c>
      <x:c r="L106" s="28" t="n">
        <x:f>G106-SUM(H106:K106)</x:f>
        <x:v>1704847.1127118645</x:v>
      </x:c>
      <x:c r="M106" s="28" t="n">
        <x:f>SUM(L101:L106)</x:f>
        <x:v>-6252057.323728815</x:v>
      </x:c>
      <x:c r="N106" s="28" t="n">
        <x:f>SUM(F101:F106)-(SUM(G101:G106)-SUM(E101:E106)+SUM(F101:F106))</x:f>
        <x:v>2642062.5</x:v>
      </x:c>
    </x:row>
    <x:row r="107" ht="23" customHeight="1">
      <x:c r="A107" s="68" t="n">
        <x:f>7</x:f>
        <x:v>7</x:v>
      </x:c>
      <x:c r="B107" s="46" t="n">
        <x:f>ROUND('Unit Economics'!H4*'Global Inputs'!B39,0)</x:f>
        <x:v>2500</x:v>
      </x:c>
      <x:c r="C107" s="46" t="n">
        <x:f>0</x:f>
        <x:v>0</x:v>
      </x:c>
      <x:c r="D107" s="46" t="n">
        <x:f>SUM(C101:C107)-SUM(B101:B107)</x:f>
        <x:v>19167</x:v>
      </x:c>
      <x:c r="E107" s="28" t="n">
        <x:f>B107*'Unit Economics'!H19</x:f>
        <x:v>946481.2499999999</x:v>
      </x:c>
      <x:c r="F107" s="28" t="n">
        <x:f>B107*'Unit Economics'!H11*'Unit Economics'!H17</x:f>
        <x:v>264206.25000000006</x:v>
      </x:c>
      <x:c r="G107" s="28" t="n">
        <x:f>E107-F107+F105</x:f>
        <x:v>2531718.75</x:v>
      </x:c>
      <x:c r="H107" s="28" t="n">
        <x:f>E107*'Global Inputs'!$B$5/(1+'Global Inputs'!$B$5)</x:f>
        <x:v>144378.49576271186</x:v>
      </x:c>
      <x:c r="I107" s="28" t="n">
        <x:f>(C107*(1-'Global Inputs'!$B$14)+C108*'Global Inputs'!$B$14)*'Unit Economics'!H6</x:f>
        <x:v>0</x:v>
      </x:c>
      <x:c r="J107" s="28" t="n">
        <x:f>B107*'Unit Economics'!H41</x:f>
        <x:v>414693.3</x:v>
      </x:c>
      <x:c r="K107" s="28" t="n">
        <x:f>'Global Inputs'!C39*'Unit Economics'!H7</x:f>
        <x:v>200000</x:v>
      </x:c>
      <x:c r="L107" s="28" t="n">
        <x:f>G107-SUM(H107:K107)</x:f>
        <x:v>1772646.954237288</x:v>
      </x:c>
      <x:c r="M107" s="28" t="n">
        <x:f>SUM(L101:L107)</x:f>
        <x:v>-4479410.369491527</x:v>
      </x:c>
      <x:c r="N107" s="28" t="n">
        <x:f>SUM(F101:F107)-(SUM(G101:G107)-SUM(E101:E107)+SUM(F101:F107))</x:f>
        <x:v>1056825</x:v>
      </x:c>
    </x:row>
    <x:row r="108" ht="23" customHeight="1">
      <x:c r="A108" s="68" t="n">
        <x:f>8</x:f>
        <x:v>8</x:v>
      </x:c>
      <x:c r="B108" s="46" t="n">
        <x:f>ROUND('Unit Economics'!H4*'Global Inputs'!B40,0)</x:f>
        <x:v>1250</x:v>
      </x:c>
      <x:c r="C108" s="46" t="n">
        <x:f>0</x:f>
        <x:v>0</x:v>
      </x:c>
      <x:c r="D108" s="46" t="n">
        <x:f>SUM(C101:C108)-SUM(B101:B108)</x:f>
        <x:v>17917</x:v>
      </x:c>
      <x:c r="E108" s="28" t="n">
        <x:f>B108*'Unit Economics'!H19</x:f>
        <x:v>473240.62499999994</x:v>
      </x:c>
      <x:c r="F108" s="28" t="n">
        <x:f>B108*'Unit Economics'!H11*'Unit Economics'!H17</x:f>
        <x:v>132103.12500000003</x:v>
      </x:c>
      <x:c r="G108" s="28" t="n">
        <x:f>E108-F108+F106</x:f>
        <x:v>1133756.25</x:v>
      </x:c>
      <x:c r="H108" s="28" t="n">
        <x:f>E108*'Global Inputs'!$B$5/(1+'Global Inputs'!$B$5)</x:f>
        <x:v>72189.24788135593</x:v>
      </x:c>
      <x:c r="I108" s="28" t="n">
        <x:f>(C108*(1-'Global Inputs'!$B$14)+C109*'Global Inputs'!$B$14)*'Unit Economics'!H6</x:f>
        <x:v>0</x:v>
      </x:c>
      <x:c r="J108" s="28" t="n">
        <x:f>B108*'Unit Economics'!H41</x:f>
        <x:v>207346.65</x:v>
      </x:c>
      <x:c r="K108" s="28" t="n">
        <x:f>'Global Inputs'!C40*'Unit Economics'!H7</x:f>
        <x:v>200000</x:v>
      </x:c>
      <x:c r="L108" s="28" t="n">
        <x:f>G108-SUM(H108:K108)</x:f>
        <x:v>654220.352118644</x:v>
      </x:c>
      <x:c r="M108" s="28" t="n">
        <x:f>SUM(L101:L108)</x:f>
        <x:v>-3825190.017372883</x:v>
      </x:c>
      <x:c r="N108" s="28" t="n">
        <x:f>SUM(F101:F108)-(SUM(G101:G108)-SUM(E101:E108)+SUM(F101:F108))</x:f>
        <x:v>396309.375</x:v>
      </x:c>
    </x:row>
    <x:row r="109" ht="23" customHeight="1">
      <x:c r="A109" s="68" t="n">
        <x:f>9</x:f>
        <x:v>9</x:v>
      </x:c>
      <x:c r="B109" s="46" t="n">
        <x:f>'Unit Economics'!H4-SUM(B101:B108)</x:f>
        <x:v>1250</x:v>
      </x:c>
      <x:c r="C109" s="46" t="n">
        <x:f>0</x:f>
        <x:v>0</x:v>
      </x:c>
      <x:c r="D109" s="46" t="n">
        <x:f>SUM(C101:C109)-SUM(B101:B109)</x:f>
        <x:v>16667</x:v>
      </x:c>
      <x:c r="E109" s="28" t="n">
        <x:f>B109*'Unit Economics'!H19</x:f>
        <x:v>473240.62499999994</x:v>
      </x:c>
      <x:c r="F109" s="28" t="n">
        <x:f>B109*'Unit Economics'!H11*'Unit Economics'!H17</x:f>
        <x:v>132103.12500000003</x:v>
      </x:c>
      <x:c r="G109" s="28" t="n">
        <x:f>E109-F109+F107</x:f>
        <x:v>605343.75</x:v>
      </x:c>
      <x:c r="H109" s="28" t="n">
        <x:f>E109*'Global Inputs'!$B$5/(1+'Global Inputs'!$B$5)</x:f>
        <x:v>72189.24788135593</x:v>
      </x:c>
      <x:c r="I109" s="28" t="n">
        <x:f>(C109*(1-'Global Inputs'!$B$14)+C110*'Global Inputs'!$B$14)*'Unit Economics'!H6</x:f>
        <x:v>0</x:v>
      </x:c>
      <x:c r="J109" s="28" t="n">
        <x:f>B109*'Unit Economics'!H41</x:f>
        <x:v>207346.65</x:v>
      </x:c>
      <x:c r="K109" s="28" t="n">
        <x:f>'Global Inputs'!C41*'Unit Economics'!H7</x:f>
        <x:v>100000</x:v>
      </x:c>
      <x:c r="L109" s="28" t="n">
        <x:f>G109-SUM(H109:K109)</x:f>
        <x:v>225807.85211864405</x:v>
      </x:c>
      <x:c r="M109" s="28" t="n">
        <x:f>SUM(L101:L109)</x:f>
        <x:v>-3599382.165254239</x:v>
      </x:c>
      <x:c r="N109" s="28" t="n">
        <x:f>SUM(F101:F109)-(SUM(G101:G109)-SUM(E101:E109)+SUM(F101:F109))</x:f>
        <x:v>264206.25</x:v>
      </x:c>
    </x:row>
    <x:row r="110" ht="23" customHeight="1">
      <x:c r="A110" s="68" t="n">
        <x:f>10</x:f>
        <x:v>10</x:v>
      </x:c>
      <x:c r="B110" s="46" t="n">
        <x:f>ROUND('Unit Economics'!H4*'Global Inputs'!B42,0)</x:f>
        <x:v>0</x:v>
      </x:c>
      <x:c r="C110" s="46" t="n">
        <x:f>0</x:f>
        <x:v>0</x:v>
      </x:c>
      <x:c r="D110" s="46" t="n">
        <x:f>SUM(C101:C110)-SUM(B101:B110)</x:f>
        <x:v>16667</x:v>
      </x:c>
      <x:c r="E110" s="28" t="n">
        <x:f>B110*'Unit Economics'!H19</x:f>
        <x:v>0</x:v>
      </x:c>
      <x:c r="F110" s="28" t="n">
        <x:f>B110*'Unit Economics'!H11*'Unit Economics'!H17</x:f>
        <x:v>0</x:v>
      </x:c>
      <x:c r="G110" s="28" t="n">
        <x:f>E110-F110+F108</x:f>
        <x:v>132103.12500000003</x:v>
      </x:c>
      <x:c r="H110" s="28" t="n">
        <x:f>E110*'Global Inputs'!$B$5/(1+'Global Inputs'!$B$5)</x:f>
        <x:v>0</x:v>
      </x:c>
      <x:c r="I110" s="28" t="n">
        <x:f>(C110*(1-'Global Inputs'!$B$14)+C111*'Global Inputs'!$B$14)*'Unit Economics'!H6</x:f>
        <x:v>0</x:v>
      </x:c>
      <x:c r="J110" s="28" t="n">
        <x:f>B110*'Unit Economics'!H41</x:f>
        <x:v>0</x:v>
      </x:c>
      <x:c r="K110" s="28" t="n">
        <x:f>'Global Inputs'!C42*'Unit Economics'!H7</x:f>
        <x:v>100000</x:v>
      </x:c>
      <x:c r="L110" s="28" t="n">
        <x:f>G110-SUM(H110:K110)</x:f>
        <x:v>32103.12500000003</x:v>
      </x:c>
      <x:c r="M110" s="28" t="n">
        <x:f>SUM(L101:L110)</x:f>
        <x:v>-3567279.040254239</x:v>
      </x:c>
      <x:c r="N110" s="28" t="n">
        <x:f>SUM(F101:F110)-(SUM(G101:G110)-SUM(E101:E110)+SUM(F101:F110))</x:f>
        <x:v>132103.125</x:v>
      </x:c>
    </x:row>
    <x:row r="111" ht="23" customHeight="1">
      <x:c r="A111" s="68" t="n">
        <x:f>11</x:f>
        <x:v>11</x:v>
      </x:c>
      <x:c r="B111" s="46" t="n">
        <x:f>ROUND('Unit Economics'!H4*'Global Inputs'!B43,0)</x:f>
        <x:v>0</x:v>
      </x:c>
      <x:c r="C111" s="46" t="n">
        <x:f>0</x:f>
        <x:v>0</x:v>
      </x:c>
      <x:c r="D111" s="46" t="n">
        <x:f>SUM(C101:C111)-SUM(B101:B111)</x:f>
        <x:v>16667</x:v>
      </x:c>
      <x:c r="E111" s="28" t="n">
        <x:f>B111*'Unit Economics'!H19</x:f>
        <x:v>0</x:v>
      </x:c>
      <x:c r="F111" s="28" t="n">
        <x:f>B111*'Unit Economics'!H11*'Unit Economics'!H17</x:f>
        <x:v>0</x:v>
      </x:c>
      <x:c r="G111" s="28" t="n">
        <x:f>E111-F111+F109</x:f>
        <x:v>132103.12500000003</x:v>
      </x:c>
      <x:c r="H111" s="28" t="n">
        <x:f>E111*'Global Inputs'!$B$5/(1+'Global Inputs'!$B$5)</x:f>
        <x:v>0</x:v>
      </x:c>
      <x:c r="I111" s="28" t="n">
        <x:f>(C111*(1-'Global Inputs'!$B$14)+C112*'Global Inputs'!$B$14)*'Unit Economics'!H6</x:f>
        <x:v>0</x:v>
      </x:c>
      <x:c r="J111" s="28" t="n">
        <x:f>B111*'Unit Economics'!H41</x:f>
        <x:v>0</x:v>
      </x:c>
      <x:c r="K111" s="28" t="n">
        <x:f>'Global Inputs'!C43*'Unit Economics'!H7</x:f>
        <x:v>100000</x:v>
      </x:c>
      <x:c r="L111" s="28" t="n">
        <x:f>G111-SUM(H111:K111)</x:f>
        <x:v>32103.12500000003</x:v>
      </x:c>
      <x:c r="M111" s="28" t="n">
        <x:f>SUM(L101:L111)</x:f>
        <x:v>-3535175.915254239</x:v>
      </x:c>
      <x:c r="N111" s="28" t="n">
        <x:f>SUM(F101:F111)-(SUM(G101:G111)-SUM(E101:E111)+SUM(F101:F111))</x:f>
        <x:v>0</x:v>
      </x:c>
    </x:row>
    <x:row r="112" ht="23" customHeight="1">
      <x:c r="A112" s="68" t="n">
        <x:f>12</x:f>
        <x:v>12</x:v>
      </x:c>
      <x:c r="B112" s="46" t="n">
        <x:f>ROUND('Unit Economics'!H4*'Global Inputs'!B44,0)</x:f>
        <x:v>0</x:v>
      </x:c>
      <x:c r="C112" s="46" t="n">
        <x:f>0</x:f>
        <x:v>0</x:v>
      </x:c>
      <x:c r="D112" s="46" t="n">
        <x:f>SUM(C101:C112)-SUM(B101:B112)</x:f>
        <x:v>16667</x:v>
      </x:c>
      <x:c r="E112" s="28" t="n">
        <x:f>B112*'Unit Economics'!H19</x:f>
        <x:v>0</x:v>
      </x:c>
      <x:c r="F112" s="28" t="n">
        <x:f>B112*'Unit Economics'!H11*'Unit Economics'!H17</x:f>
        <x:v>0</x:v>
      </x:c>
      <x:c r="G112" s="28" t="n">
        <x:f>E112-F112+F110</x:f>
        <x:v>0</x:v>
      </x:c>
      <x:c r="H112" s="28" t="n">
        <x:f>E112*'Global Inputs'!$B$5/(1+'Global Inputs'!$B$5)</x:f>
        <x:v>0</x:v>
      </x:c>
      <x:c r="I112" s="28" t="n">
        <x:f>(C112*(1-'Global Inputs'!$B$14))*'Unit Economics'!H6</x:f>
        <x:v>0</x:v>
      </x:c>
      <x:c r="J112" s="28" t="n">
        <x:f>B112*'Unit Economics'!H41</x:f>
        <x:v>0</x:v>
      </x:c>
      <x:c r="K112" s="28" t="n">
        <x:f>'Global Inputs'!C44*'Unit Economics'!H7</x:f>
        <x:v>50000</x:v>
      </x:c>
      <x:c r="L112" s="28" t="n">
        <x:f>G112-SUM(H112:K112)</x:f>
        <x:v>-50000</x:v>
      </x:c>
      <x:c r="M112" s="28" t="n">
        <x:f>SUM(L101:L112)</x:f>
        <x:v>-3585175.915254239</x:v>
      </x:c>
      <x:c r="N112" s="28" t="n">
        <x:f>SUM(F101:F112)-(SUM(G101:G112)-SUM(E101:E112)+SUM(F101:F112))</x:f>
        <x:v>0</x:v>
      </x:c>
    </x:row>
    <x:row r="113" ht="23" customHeight="1">
      <x:c r="A113" s="4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</x:row>
    <x:row r="114" ht="23" customHeight="1">
      <x:c r="A114" s="4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</x:row>
    <x:row r="115" ht="30" customHeight="1">
      <x:c r="A115" s="7" t="str">
        <x:v>Base | 50,000 retained books</x:v>
      </x:c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</x:row>
    <x:row r="116" ht="42" customHeight="1">
      <x:c r="A116" s="14" t="str">
        <x:v>Month</x:v>
      </x:c>
      <x:c r="B116" s="78" t="str">
        <x:v>Retained sales</x:v>
      </x:c>
      <x:c r="C116" s="78" t="str">
        <x:v>Print receipts</x:v>
      </x:c>
      <x:c r="D116" s="78" t="str">
        <x:v>Closing stock</x:v>
      </x:c>
      <x:c r="E116" s="78" t="str">
        <x:v>Gross invoiced</x:v>
      </x:c>
      <x:c r="F116" s="78" t="str">
        <x:v>Trade invoiced</x:v>
      </x:c>
      <x:c r="G116" s="78" t="str">
        <x:v>Cash receipts</x:v>
      </x:c>
      <x:c r="H116" s="78" t="str">
        <x:v>GST reserved</x:v>
      </x:c>
      <x:c r="I116" s="78" t="str">
        <x:v>Printer cash</x:v>
      </x:c>
      <x:c r="J116" s="78" t="str">
        <x:v>Other variable/reserved</x:v>
      </x:c>
      <x:c r="K116" s="78" t="str">
        <x:v>Fixed cash</x:v>
      </x:c>
      <x:c r="L116" s="78" t="str">
        <x:v>Net usable cash</x:v>
      </x:c>
      <x:c r="M116" s="78" t="str">
        <x:v>Cumulative cash</x:v>
      </x:c>
      <x:c r="N116" s="78" t="str">
        <x:v>Trade receivable</x:v>
      </x:c>
    </x:row>
    <x:row r="117" ht="23" customHeight="1">
      <x:c r="A117" s="68" t="n">
        <x:f>1</x:f>
        <x:v>1</x:v>
      </x:c>
      <x:c r="B117" s="46" t="n">
        <x:f>ROUND('Unit Economics'!I4*'Global Inputs'!B33,0)</x:f>
        <x:v>0</x:v>
      </x:c>
      <x:c r="C117" s="46" t="n">
        <x:f>0</x:f>
        <x:v>0</x:v>
      </x:c>
      <x:c r="D117" s="46" t="n">
        <x:f>SUM(C117:C117)-SUM(B117:B117)</x:f>
        <x:v>0</x:v>
      </x:c>
      <x:c r="E117" s="28" t="n">
        <x:f>B117*'Unit Economics'!I19</x:f>
        <x:v>0</x:v>
      </x:c>
      <x:c r="F117" s="28" t="n">
        <x:f>B117*'Unit Economics'!I11*'Unit Economics'!I17</x:f>
        <x:v>0</x:v>
      </x:c>
      <x:c r="G117" s="28" t="n">
        <x:f>E117-F117</x:f>
        <x:v>0</x:v>
      </x:c>
      <x:c r="H117" s="28" t="n">
        <x:f>E117*'Global Inputs'!$B$5/(1+'Global Inputs'!$B$5)</x:f>
        <x:v>0</x:v>
      </x:c>
      <x:c r="I117" s="28" t="n">
        <x:f>(C117*(1-'Global Inputs'!$B$14)+C118*'Global Inputs'!$B$14)*'Unit Economics'!I6</x:f>
        <x:v>866658</x:v>
      </x:c>
      <x:c r="J117" s="28" t="n">
        <x:f>B117*'Unit Economics'!I41</x:f>
        <x:v>0</x:v>
      </x:c>
      <x:c r="K117" s="28" t="n">
        <x:f>'Global Inputs'!C33*'Unit Economics'!I7</x:f>
        <x:v>1400000</x:v>
      </x:c>
      <x:c r="L117" s="28" t="n">
        <x:f>G117-SUM(H117:K117)</x:f>
        <x:v>-2266658</x:v>
      </x:c>
      <x:c r="M117" s="28" t="n">
        <x:f>SUM(L117:L117)</x:f>
        <x:v>-2266658</x:v>
      </x:c>
      <x:c r="N117" s="28" t="n">
        <x:f>SUM(F117:F117)-(SUM(G117:G117)-SUM(E117:E117)+SUM(F117:F117))</x:f>
        <x:v>0</x:v>
      </x:c>
    </x:row>
    <x:row r="118" ht="23" customHeight="1">
      <x:c r="A118" s="68" t="n">
        <x:f>2</x:f>
        <x:v>2</x:v>
      </x:c>
      <x:c r="B118" s="46" t="n">
        <x:f>ROUND('Unit Economics'!I4*'Global Inputs'!B34,0)</x:f>
        <x:v>0</x:v>
      </x:c>
      <x:c r="C118" s="46" t="n">
        <x:f>ROUND('Unit Economics'!I5*'Global Inputs'!$B$15,0)</x:f>
        <x:v>22222</x:v>
      </x:c>
      <x:c r="D118" s="46" t="n">
        <x:f>SUM(C117:C118)-SUM(B117:B118)</x:f>
        <x:v>22222</x:v>
      </x:c>
      <x:c r="E118" s="28" t="n">
        <x:f>B118*'Unit Economics'!I19</x:f>
        <x:v>0</x:v>
      </x:c>
      <x:c r="F118" s="28" t="n">
        <x:f>B118*'Unit Economics'!I11*'Unit Economics'!I17</x:f>
        <x:v>0</x:v>
      </x:c>
      <x:c r="G118" s="28" t="n">
        <x:f>E118-F118</x:f>
        <x:v>0</x:v>
      </x:c>
      <x:c r="H118" s="28" t="n">
        <x:f>E118*'Global Inputs'!$B$5/(1+'Global Inputs'!$B$5)</x:f>
        <x:v>0</x:v>
      </x:c>
      <x:c r="I118" s="28" t="n">
        <x:f>(C118*(1-'Global Inputs'!$B$14)+C119*'Global Inputs'!$B$14)*'Unit Economics'!I6</x:f>
        <x:v>866658</x:v>
      </x:c>
      <x:c r="J118" s="28" t="n">
        <x:f>B118*'Unit Economics'!I41</x:f>
        <x:v>0</x:v>
      </x:c>
      <x:c r="K118" s="28" t="n">
        <x:f>'Global Inputs'!C34*'Unit Economics'!I7</x:f>
        <x:v>1000000</x:v>
      </x:c>
      <x:c r="L118" s="28" t="n">
        <x:f>G118-SUM(H118:K118)</x:f>
        <x:v>-1866658</x:v>
      </x:c>
      <x:c r="M118" s="28" t="n">
        <x:f>SUM(L117:L118)</x:f>
        <x:v>-4133316</x:v>
      </x:c>
      <x:c r="N118" s="28" t="n">
        <x:f>SUM(F117:F118)-(SUM(G117:G118)-SUM(E117:E118)+SUM(F117:F118))</x:f>
        <x:v>0</x:v>
      </x:c>
    </x:row>
    <x:row r="119" ht="23" customHeight="1">
      <x:c r="A119" s="68" t="n">
        <x:f>3</x:f>
        <x:v>3</x:v>
      </x:c>
      <x:c r="B119" s="46" t="n">
        <x:f>ROUND('Unit Economics'!I4*'Global Inputs'!B35,0)</x:f>
        <x:v>5000</x:v>
      </x:c>
      <x:c r="C119" s="46" t="n">
        <x:f>0</x:f>
        <x:v>0</x:v>
      </x:c>
      <x:c r="D119" s="46" t="n">
        <x:f>SUM(C117:C119)-SUM(B117:B119)</x:f>
        <x:v>17222</x:v>
      </x:c>
      <x:c r="E119" s="28" t="n">
        <x:f>B119*'Unit Economics'!I19</x:f>
        <x:v>2150750</x:v>
      </x:c>
      <x:c r="F119" s="28" t="n">
        <x:f>B119*'Unit Economics'!I11*'Unit Economics'!I17</x:f>
        <x:v>411750</x:v>
      </x:c>
      <x:c r="G119" s="28" t="n">
        <x:f>E119-F119+F117</x:f>
        <x:v>1739000</x:v>
      </x:c>
      <x:c r="H119" s="28" t="n">
        <x:f>E119*'Global Inputs'!$B$5/(1+'Global Inputs'!$B$5)</x:f>
        <x:v>328080.5084745763</x:v>
      </x:c>
      <x:c r="I119" s="28" t="n">
        <x:f>(C119*(1-'Global Inputs'!$B$14)+C120*'Global Inputs'!$B$14)*'Unit Economics'!I6</x:f>
        <x:v>758355</x:v>
      </x:c>
      <x:c r="J119" s="28" t="n">
        <x:f>B119*'Unit Economics'!I41</x:f>
        <x:v>648614.9</x:v>
      </x:c>
      <x:c r="K119" s="28" t="n">
        <x:f>'Global Inputs'!C35*'Unit Economics'!I7</x:f>
        <x:v>400000</x:v>
      </x:c>
      <x:c r="L119" s="28" t="n">
        <x:f>G119-SUM(H119:K119)</x:f>
        <x:v>-396050.4084745762</x:v>
      </x:c>
      <x:c r="M119" s="28" t="n">
        <x:f>SUM(L117:L119)</x:f>
        <x:v>-4529366.408474576</x:v>
      </x:c>
      <x:c r="N119" s="28" t="n">
        <x:f>SUM(F117:F119)-(SUM(G117:G119)-SUM(E117:E119)+SUM(F117:F119))</x:f>
        <x:v>411750</x:v>
      </x:c>
    </x:row>
    <x:row r="120" ht="23" customHeight="1">
      <x:c r="A120" s="68" t="n">
        <x:f>4</x:f>
        <x:v>4</x:v>
      </x:c>
      <x:c r="B120" s="46" t="n">
        <x:f>ROUND('Unit Economics'!I4*'Global Inputs'!B36,0)</x:f>
        <x:v>15000</x:v>
      </x:c>
      <x:c r="C120" s="46" t="n">
        <x:f>ROUND('Unit Economics'!I5*'Global Inputs'!$B$16,0)</x:f>
        <x:v>19445</x:v>
      </x:c>
      <x:c r="D120" s="46" t="n">
        <x:f>SUM(C117:C120)-SUM(B117:B120)</x:f>
        <x:v>21667</x:v>
      </x:c>
      <x:c r="E120" s="28" t="n">
        <x:f>B120*'Unit Economics'!I19</x:f>
        <x:v>6452250</x:v>
      </x:c>
      <x:c r="F120" s="28" t="n">
        <x:f>B120*'Unit Economics'!I11*'Unit Economics'!I17</x:f>
        <x:v>1235250</x:v>
      </x:c>
      <x:c r="G120" s="28" t="n">
        <x:f>E120-F120+F118</x:f>
        <x:v>5217000</x:v>
      </x:c>
      <x:c r="H120" s="28" t="n">
        <x:f>E120*'Global Inputs'!$B$5/(1+'Global Inputs'!$B$5)</x:f>
        <x:v>984241.5254237289</x:v>
      </x:c>
      <x:c r="I120" s="28" t="n">
        <x:f>(C120*(1-'Global Inputs'!$B$14)+C121*'Global Inputs'!$B$14)*'Unit Economics'!I6</x:f>
        <x:v>1300026</x:v>
      </x:c>
      <x:c r="J120" s="28" t="n">
        <x:f>B120*'Unit Economics'!I41</x:f>
        <x:v>1945844.7000000002</x:v>
      </x:c>
      <x:c r="K120" s="28" t="n">
        <x:f>'Global Inputs'!C36*'Unit Economics'!I7</x:f>
        <x:v>200000</x:v>
      </x:c>
      <x:c r="L120" s="28" t="n">
        <x:f>G120-SUM(H120:K120)</x:f>
        <x:v>786887.774576271</x:v>
      </x:c>
      <x:c r="M120" s="28" t="n">
        <x:f>SUM(L117:L120)</x:f>
        <x:v>-3742478.633898305</x:v>
      </x:c>
      <x:c r="N120" s="28" t="n">
        <x:f>SUM(F117:F120)-(SUM(G117:G120)-SUM(E117:E120)+SUM(F117:F120))</x:f>
        <x:v>1647000</x:v>
      </x:c>
    </x:row>
    <x:row r="121" ht="23" customHeight="1">
      <x:c r="A121" s="68" t="n">
        <x:f>5</x:f>
        <x:v>5</x:v>
      </x:c>
      <x:c r="B121" s="46" t="n">
        <x:f>ROUND('Unit Economics'!I4*'Global Inputs'!B37,0)</x:f>
        <x:v>17500</x:v>
      </x:c>
      <x:c r="C121" s="46" t="n">
        <x:f>'Unit Economics'!I5-SUM(C117:C120)</x:f>
        <x:v>13889</x:v>
      </x:c>
      <x:c r="D121" s="46" t="n">
        <x:f>SUM(C117:C121)-SUM(B117:B121)</x:f>
        <x:v>18056</x:v>
      </x:c>
      <x:c r="E121" s="28" t="n">
        <x:f>B121*'Unit Economics'!I19</x:f>
        <x:v>7527625</x:v>
      </x:c>
      <x:c r="F121" s="28" t="n">
        <x:f>B121*'Unit Economics'!I11*'Unit Economics'!I17</x:f>
        <x:v>1441125</x:v>
      </x:c>
      <x:c r="G121" s="28" t="n">
        <x:f>E121-F121+F119</x:f>
        <x:v>6498250</x:v>
      </x:c>
      <x:c r="H121" s="28" t="n">
        <x:f>E121*'Global Inputs'!$B$5/(1+'Global Inputs'!$B$5)</x:f>
        <x:v>1148281.779661017</x:v>
      </x:c>
      <x:c r="I121" s="28" t="n">
        <x:f>(C121*(1-'Global Inputs'!$B$14)+C122*'Global Inputs'!$B$14)*'Unit Economics'!I6</x:f>
        <x:v>541671</x:v>
      </x:c>
      <x:c r="J121" s="28" t="n">
        <x:f>B121*'Unit Economics'!I41</x:f>
        <x:v>2270152.15</x:v>
      </x:c>
      <x:c r="K121" s="28" t="n">
        <x:f>'Global Inputs'!C37*'Unit Economics'!I7</x:f>
        <x:v>200000</x:v>
      </x:c>
      <x:c r="L121" s="28" t="n">
        <x:f>G121-SUM(H121:K121)</x:f>
        <x:v>2338145.070338983</x:v>
      </x:c>
      <x:c r="M121" s="28" t="n">
        <x:f>SUM(L117:L121)</x:f>
        <x:v>-1404333.5635593217</x:v>
      </x:c>
      <x:c r="N121" s="28" t="n">
        <x:f>SUM(F117:F121)-(SUM(G117:G121)-SUM(E117:E121)+SUM(F117:F121))</x:f>
        <x:v>2676375</x:v>
      </x:c>
    </x:row>
    <x:row r="122" ht="23" customHeight="1">
      <x:c r="A122" s="68" t="n">
        <x:f>6</x:f>
        <x:v>6</x:v>
      </x:c>
      <x:c r="B122" s="46" t="n">
        <x:f>ROUND('Unit Economics'!I4*'Global Inputs'!B38,0)</x:f>
        <x:v>7500</x:v>
      </x:c>
      <x:c r="C122" s="46" t="n">
        <x:f>0</x:f>
        <x:v>0</x:v>
      </x:c>
      <x:c r="D122" s="46" t="n">
        <x:f>SUM(C117:C122)-SUM(B117:B122)</x:f>
        <x:v>10556</x:v>
      </x:c>
      <x:c r="E122" s="28" t="n">
        <x:f>B122*'Unit Economics'!I19</x:f>
        <x:v>3226125</x:v>
      </x:c>
      <x:c r="F122" s="28" t="n">
        <x:f>B122*'Unit Economics'!I11*'Unit Economics'!I17</x:f>
        <x:v>617625</x:v>
      </x:c>
      <x:c r="G122" s="28" t="n">
        <x:f>E122-F122+F120</x:f>
        <x:v>3843750</x:v>
      </x:c>
      <x:c r="H122" s="28" t="n">
        <x:f>E122*'Global Inputs'!$B$5/(1+'Global Inputs'!$B$5)</x:f>
        <x:v>492120.76271186443</x:v>
      </x:c>
      <x:c r="I122" s="28" t="n">
        <x:f>(C122*(1-'Global Inputs'!$B$14)+C123*'Global Inputs'!$B$14)*'Unit Economics'!I6</x:f>
        <x:v>0</x:v>
      </x:c>
      <x:c r="J122" s="28" t="n">
        <x:f>B122*'Unit Economics'!I41</x:f>
        <x:v>972922.3500000001</x:v>
      </x:c>
      <x:c r="K122" s="28" t="n">
        <x:f>'Global Inputs'!C38*'Unit Economics'!I7</x:f>
        <x:v>200000</x:v>
      </x:c>
      <x:c r="L122" s="28" t="n">
        <x:f>G122-SUM(H122:K122)</x:f>
        <x:v>2178706.8872881355</x:v>
      </x:c>
      <x:c r="M122" s="28" t="n">
        <x:f>SUM(L117:L122)</x:f>
        <x:v>774373.3237288138</x:v>
      </x:c>
      <x:c r="N122" s="28" t="n">
        <x:f>SUM(F117:F122)-(SUM(G117:G122)-SUM(E117:E122)+SUM(F117:F122))</x:f>
        <x:v>2058750</x:v>
      </x:c>
    </x:row>
    <x:row r="123" ht="23" customHeight="1">
      <x:c r="A123" s="68" t="n">
        <x:f>7</x:f>
        <x:v>7</x:v>
      </x:c>
      <x:c r="B123" s="46" t="n">
        <x:f>ROUND('Unit Economics'!I4*'Global Inputs'!B39,0)</x:f>
        <x:v>2500</x:v>
      </x:c>
      <x:c r="C123" s="46" t="n">
        <x:f>0</x:f>
        <x:v>0</x:v>
      </x:c>
      <x:c r="D123" s="46" t="n">
        <x:f>SUM(C117:C123)-SUM(B117:B123)</x:f>
        <x:v>8056</x:v>
      </x:c>
      <x:c r="E123" s="28" t="n">
        <x:f>B123*'Unit Economics'!I19</x:f>
        <x:v>1075375</x:v>
      </x:c>
      <x:c r="F123" s="28" t="n">
        <x:f>B123*'Unit Economics'!I11*'Unit Economics'!I17</x:f>
        <x:v>205875</x:v>
      </x:c>
      <x:c r="G123" s="28" t="n">
        <x:f>E123-F123+F121</x:f>
        <x:v>2310625</x:v>
      </x:c>
      <x:c r="H123" s="28" t="n">
        <x:f>E123*'Global Inputs'!$B$5/(1+'Global Inputs'!$B$5)</x:f>
        <x:v>164040.25423728814</x:v>
      </x:c>
      <x:c r="I123" s="28" t="n">
        <x:f>(C123*(1-'Global Inputs'!$B$14)+C124*'Global Inputs'!$B$14)*'Unit Economics'!I6</x:f>
        <x:v>0</x:v>
      </x:c>
      <x:c r="J123" s="28" t="n">
        <x:f>B123*'Unit Economics'!I41</x:f>
        <x:v>324307.45</x:v>
      </x:c>
      <x:c r="K123" s="28" t="n">
        <x:f>'Global Inputs'!C39*'Unit Economics'!I7</x:f>
        <x:v>160000</x:v>
      </x:c>
      <x:c r="L123" s="28" t="n">
        <x:f>G123-SUM(H123:K123)</x:f>
        <x:v>1662277.295762712</x:v>
      </x:c>
      <x:c r="M123" s="28" t="n">
        <x:f>SUM(L117:L123)</x:f>
        <x:v>2436650.619491526</x:v>
      </x:c>
      <x:c r="N123" s="28" t="n">
        <x:f>SUM(F117:F123)-(SUM(G117:G123)-SUM(E117:E123)+SUM(F117:F123))</x:f>
        <x:v>823500</x:v>
      </x:c>
    </x:row>
    <x:row r="124" ht="23" customHeight="1">
      <x:c r="A124" s="68" t="n">
        <x:f>8</x:f>
        <x:v>8</x:v>
      </x:c>
      <x:c r="B124" s="46" t="n">
        <x:f>ROUND('Unit Economics'!I4*'Global Inputs'!B40,0)</x:f>
        <x:v>1250</x:v>
      </x:c>
      <x:c r="C124" s="46" t="n">
        <x:f>0</x:f>
        <x:v>0</x:v>
      </x:c>
      <x:c r="D124" s="46" t="n">
        <x:f>SUM(C117:C124)-SUM(B117:B124)</x:f>
        <x:v>6806</x:v>
      </x:c>
      <x:c r="E124" s="28" t="n">
        <x:f>B124*'Unit Economics'!I19</x:f>
        <x:v>537687.5</x:v>
      </x:c>
      <x:c r="F124" s="28" t="n">
        <x:f>B124*'Unit Economics'!I11*'Unit Economics'!I17</x:f>
        <x:v>102937.5</x:v>
      </x:c>
      <x:c r="G124" s="28" t="n">
        <x:f>E124-F124+F122</x:f>
        <x:v>1052375</x:v>
      </x:c>
      <x:c r="H124" s="28" t="n">
        <x:f>E124*'Global Inputs'!$B$5/(1+'Global Inputs'!$B$5)</x:f>
        <x:v>82020.12711864407</x:v>
      </x:c>
      <x:c r="I124" s="28" t="n">
        <x:f>(C124*(1-'Global Inputs'!$B$14)+C125*'Global Inputs'!$B$14)*'Unit Economics'!I6</x:f>
        <x:v>0</x:v>
      </x:c>
      <x:c r="J124" s="28" t="n">
        <x:f>B124*'Unit Economics'!I41</x:f>
        <x:v>162153.725</x:v>
      </x:c>
      <x:c r="K124" s="28" t="n">
        <x:f>'Global Inputs'!C40*'Unit Economics'!I7</x:f>
        <x:v>160000</x:v>
      </x:c>
      <x:c r="L124" s="28" t="n">
        <x:f>G124-SUM(H124:K124)</x:f>
        <x:v>648201.147881356</x:v>
      </x:c>
      <x:c r="M124" s="28" t="n">
        <x:f>SUM(L117:L124)</x:f>
        <x:v>3084851.767372882</x:v>
      </x:c>
      <x:c r="N124" s="28" t="n">
        <x:f>SUM(F117:F124)-(SUM(G117:G124)-SUM(E117:E124)+SUM(F117:F124))</x:f>
        <x:v>308812.5</x:v>
      </x:c>
    </x:row>
    <x:row r="125" ht="23" customHeight="1">
      <x:c r="A125" s="68" t="n">
        <x:f>9</x:f>
        <x:v>9</x:v>
      </x:c>
      <x:c r="B125" s="46" t="n">
        <x:f>'Unit Economics'!I4-SUM(B117:B124)</x:f>
        <x:v>1250</x:v>
      </x:c>
      <x:c r="C125" s="46" t="n">
        <x:f>0</x:f>
        <x:v>0</x:v>
      </x:c>
      <x:c r="D125" s="46" t="n">
        <x:f>SUM(C117:C125)-SUM(B117:B125)</x:f>
        <x:v>5556</x:v>
      </x:c>
      <x:c r="E125" s="28" t="n">
        <x:f>B125*'Unit Economics'!I19</x:f>
        <x:v>537687.5</x:v>
      </x:c>
      <x:c r="F125" s="28" t="n">
        <x:f>B125*'Unit Economics'!I11*'Unit Economics'!I17</x:f>
        <x:v>102937.5</x:v>
      </x:c>
      <x:c r="G125" s="28" t="n">
        <x:f>E125-F125+F123</x:f>
        <x:v>640625</x:v>
      </x:c>
      <x:c r="H125" s="28" t="n">
        <x:f>E125*'Global Inputs'!$B$5/(1+'Global Inputs'!$B$5)</x:f>
        <x:v>82020.12711864407</x:v>
      </x:c>
      <x:c r="I125" s="28" t="n">
        <x:f>(C125*(1-'Global Inputs'!$B$14)+C126*'Global Inputs'!$B$14)*'Unit Economics'!I6</x:f>
        <x:v>0</x:v>
      </x:c>
      <x:c r="J125" s="28" t="n">
        <x:f>B125*'Unit Economics'!I41</x:f>
        <x:v>162153.725</x:v>
      </x:c>
      <x:c r="K125" s="28" t="n">
        <x:f>'Global Inputs'!C41*'Unit Economics'!I7</x:f>
        <x:v>80000</x:v>
      </x:c>
      <x:c r="L125" s="28" t="n">
        <x:f>G125-SUM(H125:K125)</x:f>
        <x:v>316451.14788135595</x:v>
      </x:c>
      <x:c r="M125" s="28" t="n">
        <x:f>SUM(L117:L125)</x:f>
        <x:v>3401302.915254238</x:v>
      </x:c>
      <x:c r="N125" s="28" t="n">
        <x:f>SUM(F117:F125)-(SUM(G117:G125)-SUM(E117:E125)+SUM(F117:F125))</x:f>
        <x:v>205875</x:v>
      </x:c>
    </x:row>
    <x:row r="126" ht="23" customHeight="1">
      <x:c r="A126" s="68" t="n">
        <x:f>10</x:f>
        <x:v>10</x:v>
      </x:c>
      <x:c r="B126" s="46" t="n">
        <x:f>ROUND('Unit Economics'!I4*'Global Inputs'!B42,0)</x:f>
        <x:v>0</x:v>
      </x:c>
      <x:c r="C126" s="46" t="n">
        <x:f>0</x:f>
        <x:v>0</x:v>
      </x:c>
      <x:c r="D126" s="46" t="n">
        <x:f>SUM(C117:C126)-SUM(B117:B126)</x:f>
        <x:v>5556</x:v>
      </x:c>
      <x:c r="E126" s="28" t="n">
        <x:f>B126*'Unit Economics'!I19</x:f>
        <x:v>0</x:v>
      </x:c>
      <x:c r="F126" s="28" t="n">
        <x:f>B126*'Unit Economics'!I11*'Unit Economics'!I17</x:f>
        <x:v>0</x:v>
      </x:c>
      <x:c r="G126" s="28" t="n">
        <x:f>E126-F126+F124</x:f>
        <x:v>102937.5</x:v>
      </x:c>
      <x:c r="H126" s="28" t="n">
        <x:f>E126*'Global Inputs'!$B$5/(1+'Global Inputs'!$B$5)</x:f>
        <x:v>0</x:v>
      </x:c>
      <x:c r="I126" s="28" t="n">
        <x:f>(C126*(1-'Global Inputs'!$B$14)+C127*'Global Inputs'!$B$14)*'Unit Economics'!I6</x:f>
        <x:v>0</x:v>
      </x:c>
      <x:c r="J126" s="28" t="n">
        <x:f>B126*'Unit Economics'!I41</x:f>
        <x:v>0</x:v>
      </x:c>
      <x:c r="K126" s="28" t="n">
        <x:f>'Global Inputs'!C42*'Unit Economics'!I7</x:f>
        <x:v>80000</x:v>
      </x:c>
      <x:c r="L126" s="28" t="n">
        <x:f>G126-SUM(H126:K126)</x:f>
        <x:v>22937.5</x:v>
      </x:c>
      <x:c r="M126" s="28" t="n">
        <x:f>SUM(L117:L126)</x:f>
        <x:v>3424240.415254238</x:v>
      </x:c>
      <x:c r="N126" s="28" t="n">
        <x:f>SUM(F117:F126)-(SUM(G117:G126)-SUM(E117:E126)+SUM(F117:F126))</x:f>
        <x:v>102937.5</x:v>
      </x:c>
    </x:row>
    <x:row r="127" ht="23" customHeight="1">
      <x:c r="A127" s="68" t="n">
        <x:f>11</x:f>
        <x:v>11</x:v>
      </x:c>
      <x:c r="B127" s="46" t="n">
        <x:f>ROUND('Unit Economics'!I4*'Global Inputs'!B43,0)</x:f>
        <x:v>0</x:v>
      </x:c>
      <x:c r="C127" s="46" t="n">
        <x:f>0</x:f>
        <x:v>0</x:v>
      </x:c>
      <x:c r="D127" s="46" t="n">
        <x:f>SUM(C117:C127)-SUM(B117:B127)</x:f>
        <x:v>5556</x:v>
      </x:c>
      <x:c r="E127" s="28" t="n">
        <x:f>B127*'Unit Economics'!I19</x:f>
        <x:v>0</x:v>
      </x:c>
      <x:c r="F127" s="28" t="n">
        <x:f>B127*'Unit Economics'!I11*'Unit Economics'!I17</x:f>
        <x:v>0</x:v>
      </x:c>
      <x:c r="G127" s="28" t="n">
        <x:f>E127-F127+F125</x:f>
        <x:v>102937.5</x:v>
      </x:c>
      <x:c r="H127" s="28" t="n">
        <x:f>E127*'Global Inputs'!$B$5/(1+'Global Inputs'!$B$5)</x:f>
        <x:v>0</x:v>
      </x:c>
      <x:c r="I127" s="28" t="n">
        <x:f>(C127*(1-'Global Inputs'!$B$14)+C128*'Global Inputs'!$B$14)*'Unit Economics'!I6</x:f>
        <x:v>0</x:v>
      </x:c>
      <x:c r="J127" s="28" t="n">
        <x:f>B127*'Unit Economics'!I41</x:f>
        <x:v>0</x:v>
      </x:c>
      <x:c r="K127" s="28" t="n">
        <x:f>'Global Inputs'!C43*'Unit Economics'!I7</x:f>
        <x:v>80000</x:v>
      </x:c>
      <x:c r="L127" s="28" t="n">
        <x:f>G127-SUM(H127:K127)</x:f>
        <x:v>22937.5</x:v>
      </x:c>
      <x:c r="M127" s="28" t="n">
        <x:f>SUM(L117:L127)</x:f>
        <x:v>3447177.915254238</x:v>
      </x:c>
      <x:c r="N127" s="28" t="n">
        <x:f>SUM(F117:F127)-(SUM(G117:G127)-SUM(E117:E127)+SUM(F117:F127))</x:f>
        <x:v>0</x:v>
      </x:c>
    </x:row>
    <x:row r="128" ht="23" customHeight="1">
      <x:c r="A128" s="68" t="n">
        <x:f>12</x:f>
        <x:v>12</x:v>
      </x:c>
      <x:c r="B128" s="46" t="n">
        <x:f>ROUND('Unit Economics'!I4*'Global Inputs'!B44,0)</x:f>
        <x:v>0</x:v>
      </x:c>
      <x:c r="C128" s="46" t="n">
        <x:f>0</x:f>
        <x:v>0</x:v>
      </x:c>
      <x:c r="D128" s="46" t="n">
        <x:f>SUM(C117:C128)-SUM(B117:B128)</x:f>
        <x:v>5556</x:v>
      </x:c>
      <x:c r="E128" s="28" t="n">
        <x:f>B128*'Unit Economics'!I19</x:f>
        <x:v>0</x:v>
      </x:c>
      <x:c r="F128" s="28" t="n">
        <x:f>B128*'Unit Economics'!I11*'Unit Economics'!I17</x:f>
        <x:v>0</x:v>
      </x:c>
      <x:c r="G128" s="28" t="n">
        <x:f>E128-F128+F126</x:f>
        <x:v>0</x:v>
      </x:c>
      <x:c r="H128" s="28" t="n">
        <x:f>E128*'Global Inputs'!$B$5/(1+'Global Inputs'!$B$5)</x:f>
        <x:v>0</x:v>
      </x:c>
      <x:c r="I128" s="28" t="n">
        <x:f>(C128*(1-'Global Inputs'!$B$14))*'Unit Economics'!I6</x:f>
        <x:v>0</x:v>
      </x:c>
      <x:c r="J128" s="28" t="n">
        <x:f>B128*'Unit Economics'!I41</x:f>
        <x:v>0</x:v>
      </x:c>
      <x:c r="K128" s="28" t="n">
        <x:f>'Global Inputs'!C44*'Unit Economics'!I7</x:f>
        <x:v>40000</x:v>
      </x:c>
      <x:c r="L128" s="28" t="n">
        <x:f>G128-SUM(H128:K128)</x:f>
        <x:v>-40000</x:v>
      </x:c>
      <x:c r="M128" s="28" t="n">
        <x:f>SUM(L117:L128)</x:f>
        <x:v>3407177.915254238</x:v>
      </x:c>
      <x:c r="N128" s="28" t="n">
        <x:f>SUM(F117:F128)-(SUM(G117:G128)-SUM(E117:E128)+SUM(F117:F128))</x:f>
        <x:v>0</x:v>
      </x:c>
    </x:row>
    <x:row r="129" ht="23" customHeight="1">
      <x:c r="A129" s="4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</x:row>
    <x:row r="130" ht="23" customHeight="1">
      <x:c r="A130" s="4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</x:row>
    <x:row r="131" ht="30" customHeight="1">
      <x:c r="A131" s="7" t="str">
        <x:v>Optimistic | 50,000 retained books</x:v>
      </x:c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</x:row>
    <x:row r="132" ht="42" customHeight="1">
      <x:c r="A132" s="14" t="str">
        <x:v>Month</x:v>
      </x:c>
      <x:c r="B132" s="78" t="str">
        <x:v>Retained sales</x:v>
      </x:c>
      <x:c r="C132" s="78" t="str">
        <x:v>Print receipts</x:v>
      </x:c>
      <x:c r="D132" s="78" t="str">
        <x:v>Closing stock</x:v>
      </x:c>
      <x:c r="E132" s="78" t="str">
        <x:v>Gross invoiced</x:v>
      </x:c>
      <x:c r="F132" s="78" t="str">
        <x:v>Trade invoiced</x:v>
      </x:c>
      <x:c r="G132" s="78" t="str">
        <x:v>Cash receipts</x:v>
      </x:c>
      <x:c r="H132" s="78" t="str">
        <x:v>GST reserved</x:v>
      </x:c>
      <x:c r="I132" s="78" t="str">
        <x:v>Printer cash</x:v>
      </x:c>
      <x:c r="J132" s="78" t="str">
        <x:v>Other variable/reserved</x:v>
      </x:c>
      <x:c r="K132" s="78" t="str">
        <x:v>Fixed cash</x:v>
      </x:c>
      <x:c r="L132" s="78" t="str">
        <x:v>Net usable cash</x:v>
      </x:c>
      <x:c r="M132" s="78" t="str">
        <x:v>Cumulative cash</x:v>
      </x:c>
      <x:c r="N132" s="78" t="str">
        <x:v>Trade receivable</x:v>
      </x:c>
    </x:row>
    <x:row r="133" ht="23" customHeight="1">
      <x:c r="A133" s="68" t="n">
        <x:f>1</x:f>
        <x:v>1</x:v>
      </x:c>
      <x:c r="B133" s="46" t="n">
        <x:f>ROUND('Unit Economics'!J4*'Global Inputs'!B33,0)</x:f>
        <x:v>0</x:v>
      </x:c>
      <x:c r="C133" s="46" t="n">
        <x:f>0</x:f>
        <x:v>0</x:v>
      </x:c>
      <x:c r="D133" s="46" t="n">
        <x:f>SUM(C133:C133)-SUM(B133:B133)</x:f>
        <x:v>0</x:v>
      </x:c>
      <x:c r="E133" s="28" t="n">
        <x:f>B133*'Unit Economics'!J19</x:f>
        <x:v>0</x:v>
      </x:c>
      <x:c r="F133" s="28" t="n">
        <x:f>B133*'Unit Economics'!J11*'Unit Economics'!J17</x:f>
        <x:v>0</x:v>
      </x:c>
      <x:c r="G133" s="28" t="n">
        <x:f>E133-F133</x:f>
        <x:v>0</x:v>
      </x:c>
      <x:c r="H133" s="28" t="n">
        <x:f>E133*'Global Inputs'!$B$5/(1+'Global Inputs'!$B$5)</x:f>
        <x:v>0</x:v>
      </x:c>
      <x:c r="I133" s="28" t="n">
        <x:f>(C133*(1-'Global Inputs'!$B$14)+C134*'Global Inputs'!$B$14)*'Unit Economics'!J6</x:f>
        <x:v>670117.5</x:v>
      </x:c>
      <x:c r="J133" s="28" t="n">
        <x:f>B133*'Unit Economics'!J41</x:f>
        <x:v>0</x:v>
      </x:c>
      <x:c r="K133" s="28" t="n">
        <x:f>'Global Inputs'!C33*'Unit Economics'!J7</x:f>
        <x:v>1225000</x:v>
      </x:c>
      <x:c r="L133" s="28" t="n">
        <x:f>G133-SUM(H133:K133)</x:f>
        <x:v>-1895117.5</x:v>
      </x:c>
      <x:c r="M133" s="28" t="n">
        <x:f>SUM(L133:L133)</x:f>
        <x:v>-1895117.5</x:v>
      </x:c>
      <x:c r="N133" s="28" t="n">
        <x:f>SUM(F133:F133)-(SUM(G133:G133)-SUM(E133:E133)+SUM(F133:F133))</x:f>
        <x:v>0</x:v>
      </x:c>
    </x:row>
    <x:row r="134" ht="23" customHeight="1">
      <x:c r="A134" s="68" t="n">
        <x:f>2</x:f>
        <x:v>2</x:v>
      </x:c>
      <x:c r="B134" s="46" t="n">
        <x:f>ROUND('Unit Economics'!J4*'Global Inputs'!B34,0)</x:f>
        <x:v>0</x:v>
      </x:c>
      <x:c r="C134" s="46" t="n">
        <x:f>ROUND('Unit Economics'!J5*'Global Inputs'!$B$15,0)</x:f>
        <x:v>20619</x:v>
      </x:c>
      <x:c r="D134" s="46" t="n">
        <x:f>SUM(C133:C134)-SUM(B133:B134)</x:f>
        <x:v>20619</x:v>
      </x:c>
      <x:c r="E134" s="28" t="n">
        <x:f>B134*'Unit Economics'!J19</x:f>
        <x:v>0</x:v>
      </x:c>
      <x:c r="F134" s="28" t="n">
        <x:f>B134*'Unit Economics'!J11*'Unit Economics'!J17</x:f>
        <x:v>0</x:v>
      </x:c>
      <x:c r="G134" s="28" t="n">
        <x:f>E134-F134</x:f>
        <x:v>0</x:v>
      </x:c>
      <x:c r="H134" s="28" t="n">
        <x:f>E134*'Global Inputs'!$B$5/(1+'Global Inputs'!$B$5)</x:f>
        <x:v>0</x:v>
      </x:c>
      <x:c r="I134" s="28" t="n">
        <x:f>(C134*(1-'Global Inputs'!$B$14)+C135*'Global Inputs'!$B$14)*'Unit Economics'!J6</x:f>
        <x:v>670117.5</x:v>
      </x:c>
      <x:c r="J134" s="28" t="n">
        <x:f>B134*'Unit Economics'!J41</x:f>
        <x:v>0</x:v>
      </x:c>
      <x:c r="K134" s="28" t="n">
        <x:f>'Global Inputs'!C34*'Unit Economics'!J7</x:f>
        <x:v>875000</x:v>
      </x:c>
      <x:c r="L134" s="28" t="n">
        <x:f>G134-SUM(H134:K134)</x:f>
        <x:v>-1545117.5</x:v>
      </x:c>
      <x:c r="M134" s="28" t="n">
        <x:f>SUM(L133:L134)</x:f>
        <x:v>-3440235</x:v>
      </x:c>
      <x:c r="N134" s="28" t="n">
        <x:f>SUM(F133:F134)-(SUM(G133:G134)-SUM(E133:E134)+SUM(F133:F134))</x:f>
        <x:v>0</x:v>
      </x:c>
    </x:row>
    <x:row r="135" ht="23" customHeight="1">
      <x:c r="A135" s="68" t="n">
        <x:f>3</x:f>
        <x:v>3</x:v>
      </x:c>
      <x:c r="B135" s="46" t="n">
        <x:f>ROUND('Unit Economics'!J4*'Global Inputs'!B35,0)</x:f>
        <x:v>5000</x:v>
      </x:c>
      <x:c r="C135" s="46" t="n">
        <x:f>0</x:f>
        <x:v>0</x:v>
      </x:c>
      <x:c r="D135" s="46" t="n">
        <x:f>SUM(C133:C135)-SUM(B133:B135)</x:f>
        <x:v>15619</x:v>
      </x:c>
      <x:c r="E135" s="28" t="n">
        <x:f>B135*'Unit Economics'!J19</x:f>
        <x:v>2333587.5</x:v>
      </x:c>
      <x:c r="F135" s="28" t="n">
        <x:f>B135*'Unit Economics'!J11*'Unit Economics'!J17</x:f>
        <x:v>267637.5</x:v>
      </x:c>
      <x:c r="G135" s="28" t="n">
        <x:f>E135-F135+F133</x:f>
        <x:v>2065950</x:v>
      </x:c>
      <x:c r="H135" s="28" t="n">
        <x:f>E135*'Global Inputs'!$B$5/(1+'Global Inputs'!$B$5)</x:f>
        <x:v>355970.9745762712</x:v>
      </x:c>
      <x:c r="I135" s="28" t="n">
        <x:f>(C135*(1-'Global Inputs'!$B$14)+C136*'Global Inputs'!$B$14)*'Unit Economics'!J6</x:f>
        <x:v>586332.5</x:v>
      </x:c>
      <x:c r="J135" s="28" t="n">
        <x:f>B135*'Unit Economics'!J41</x:f>
        <x:v>528249.2</x:v>
      </x:c>
      <x:c r="K135" s="28" t="n">
        <x:f>'Global Inputs'!C35*'Unit Economics'!J7</x:f>
        <x:v>350000</x:v>
      </x:c>
      <x:c r="L135" s="28" t="n">
        <x:f>G135-SUM(H135:K135)</x:f>
        <x:v>245397.3254237289</x:v>
      </x:c>
      <x:c r="M135" s="28" t="n">
        <x:f>SUM(L133:L135)</x:f>
        <x:v>-3194837.6745762713</x:v>
      </x:c>
      <x:c r="N135" s="28" t="n">
        <x:f>SUM(F133:F135)-(SUM(G133:G135)-SUM(E133:E135)+SUM(F133:F135))</x:f>
        <x:v>267637.5</x:v>
      </x:c>
    </x:row>
    <x:row r="136" ht="23" customHeight="1">
      <x:c r="A136" s="68" t="n">
        <x:f>4</x:f>
        <x:v>4</x:v>
      </x:c>
      <x:c r="B136" s="46" t="n">
        <x:f>ROUND('Unit Economics'!J4*'Global Inputs'!B36,0)</x:f>
        <x:v>15000</x:v>
      </x:c>
      <x:c r="C136" s="46" t="n">
        <x:f>ROUND('Unit Economics'!J5*'Global Inputs'!$B$16,0)</x:f>
        <x:v>18041</x:v>
      </x:c>
      <x:c r="D136" s="46" t="n">
        <x:f>SUM(C133:C136)-SUM(B133:B136)</x:f>
        <x:v>18660</x:v>
      </x:c>
      <x:c r="E136" s="28" t="n">
        <x:f>B136*'Unit Economics'!J19</x:f>
        <x:v>7000762.5</x:v>
      </x:c>
      <x:c r="F136" s="28" t="n">
        <x:f>B136*'Unit Economics'!J11*'Unit Economics'!J17</x:f>
        <x:v>802912.5</x:v>
      </x:c>
      <x:c r="G136" s="28" t="n">
        <x:f>E136-F136+F134</x:f>
        <x:v>6197850</x:v>
      </x:c>
      <x:c r="H136" s="28" t="n">
        <x:f>E136*'Global Inputs'!$B$5/(1+'Global Inputs'!$B$5)</x:f>
        <x:v>1067912.9237288137</x:v>
      </x:c>
      <x:c r="I136" s="28" t="n">
        <x:f>(C136*(1-'Global Inputs'!$B$14)+C137*'Global Inputs'!$B$14)*'Unit Economics'!J6</x:f>
        <x:v>1005160</x:v>
      </x:c>
      <x:c r="J136" s="28" t="n">
        <x:f>B136*'Unit Economics'!J41</x:f>
        <x:v>1584747.5999999999</x:v>
      </x:c>
      <x:c r="K136" s="28" t="n">
        <x:f>'Global Inputs'!C36*'Unit Economics'!J7</x:f>
        <x:v>175000</x:v>
      </x:c>
      <x:c r="L136" s="28" t="n">
        <x:f>G136-SUM(H136:K136)</x:f>
        <x:v>2365029.4762711865</x:v>
      </x:c>
      <x:c r="M136" s="28" t="n">
        <x:f>SUM(L133:L136)</x:f>
        <x:v>-829808.1983050848</x:v>
      </x:c>
      <x:c r="N136" s="28" t="n">
        <x:f>SUM(F133:F136)-(SUM(G133:G136)-SUM(E133:E136)+SUM(F133:F136))</x:f>
        <x:v>1070550</x:v>
      </x:c>
    </x:row>
    <x:row r="137" ht="23" customHeight="1">
      <x:c r="A137" s="68" t="n">
        <x:f>5</x:f>
        <x:v>5</x:v>
      </x:c>
      <x:c r="B137" s="46" t="n">
        <x:f>ROUND('Unit Economics'!J4*'Global Inputs'!B37,0)</x:f>
        <x:v>17500</x:v>
      </x:c>
      <x:c r="C137" s="46" t="n">
        <x:f>'Unit Economics'!J5-SUM(C133:C136)</x:f>
        <x:v>12887</x:v>
      </x:c>
      <x:c r="D137" s="46" t="n">
        <x:f>SUM(C133:C137)-SUM(B133:B137)</x:f>
        <x:v>14047</x:v>
      </x:c>
      <x:c r="E137" s="28" t="n">
        <x:f>B137*'Unit Economics'!J19</x:f>
        <x:v>8167556.250000001</x:v>
      </x:c>
      <x:c r="F137" s="28" t="n">
        <x:f>B137*'Unit Economics'!J11*'Unit Economics'!J17</x:f>
        <x:v>936731.2500000001</x:v>
      </x:c>
      <x:c r="G137" s="28" t="n">
        <x:f>E137-F137+F135</x:f>
        <x:v>7498462.500000001</x:v>
      </x:c>
      <x:c r="H137" s="28" t="n">
        <x:f>E137*'Global Inputs'!$B$5/(1+'Global Inputs'!$B$5)</x:f>
        <x:v>1245898.4110169492</x:v>
      </x:c>
      <x:c r="I137" s="28" t="n">
        <x:f>(C137*(1-'Global Inputs'!$B$14)+C138*'Global Inputs'!$B$14)*'Unit Economics'!J6</x:f>
        <x:v>418827.5</x:v>
      </x:c>
      <x:c r="J137" s="28" t="n">
        <x:f>B137*'Unit Economics'!J41</x:f>
        <x:v>1848872.2</x:v>
      </x:c>
      <x:c r="K137" s="28" t="n">
        <x:f>'Global Inputs'!C37*'Unit Economics'!J7</x:f>
        <x:v>175000</x:v>
      </x:c>
      <x:c r="L137" s="28" t="n">
        <x:f>G137-SUM(H137:K137)</x:f>
        <x:v>3809864.3889830518</x:v>
      </x:c>
      <x:c r="M137" s="28" t="n">
        <x:f>SUM(L133:L137)</x:f>
        <x:v>2980056.190677967</x:v>
      </x:c>
      <x:c r="N137" s="28" t="n">
        <x:f>SUM(F133:F137)-(SUM(G133:G137)-SUM(E133:E137)+SUM(F133:F137))</x:f>
        <x:v>1739643.75</x:v>
      </x:c>
    </x:row>
    <x:row r="138" ht="23" customHeight="1">
      <x:c r="A138" s="68" t="n">
        <x:f>6</x:f>
        <x:v>6</x:v>
      </x:c>
      <x:c r="B138" s="46" t="n">
        <x:f>ROUND('Unit Economics'!J4*'Global Inputs'!B38,0)</x:f>
        <x:v>7500</x:v>
      </x:c>
      <x:c r="C138" s="46" t="n">
        <x:f>0</x:f>
        <x:v>0</x:v>
      </x:c>
      <x:c r="D138" s="46" t="n">
        <x:f>SUM(C133:C138)-SUM(B133:B138)</x:f>
        <x:v>6547</x:v>
      </x:c>
      <x:c r="E138" s="28" t="n">
        <x:f>B138*'Unit Economics'!J19</x:f>
        <x:v>3500381.25</x:v>
      </x:c>
      <x:c r="F138" s="28" t="n">
        <x:f>B138*'Unit Economics'!J11*'Unit Economics'!J17</x:f>
        <x:v>401456.25</x:v>
      </x:c>
      <x:c r="G138" s="28" t="n">
        <x:f>E138-F138+F136</x:f>
        <x:v>3901837.5</x:v>
      </x:c>
      <x:c r="H138" s="28" t="n">
        <x:f>E138*'Global Inputs'!$B$5/(1+'Global Inputs'!$B$5)</x:f>
        <x:v>533956.4618644068</x:v>
      </x:c>
      <x:c r="I138" s="28" t="n">
        <x:f>(C138*(1-'Global Inputs'!$B$14)+C139*'Global Inputs'!$B$14)*'Unit Economics'!J6</x:f>
        <x:v>0</x:v>
      </x:c>
      <x:c r="J138" s="28" t="n">
        <x:f>B138*'Unit Economics'!J41</x:f>
        <x:v>792373.7999999999</x:v>
      </x:c>
      <x:c r="K138" s="28" t="n">
        <x:f>'Global Inputs'!C38*'Unit Economics'!J7</x:f>
        <x:v>175000</x:v>
      </x:c>
      <x:c r="L138" s="28" t="n">
        <x:f>G138-SUM(H138:K138)</x:f>
        <x:v>2400507.238135593</x:v>
      </x:c>
      <x:c r="M138" s="28" t="n">
        <x:f>SUM(L133:L138)</x:f>
        <x:v>5380563.42881356</x:v>
      </x:c>
      <x:c r="N138" s="28" t="n">
        <x:f>SUM(F133:F138)-(SUM(G133:G138)-SUM(E133:E138)+SUM(F133:F138))</x:f>
        <x:v>1338187.5</x:v>
      </x:c>
    </x:row>
    <x:row r="139" ht="23" customHeight="1">
      <x:c r="A139" s="68" t="n">
        <x:f>7</x:f>
        <x:v>7</x:v>
      </x:c>
      <x:c r="B139" s="46" t="n">
        <x:f>ROUND('Unit Economics'!J4*'Global Inputs'!B39,0)</x:f>
        <x:v>2500</x:v>
      </x:c>
      <x:c r="C139" s="46" t="n">
        <x:f>0</x:f>
        <x:v>0</x:v>
      </x:c>
      <x:c r="D139" s="46" t="n">
        <x:f>SUM(C133:C139)-SUM(B133:B139)</x:f>
        <x:v>4047</x:v>
      </x:c>
      <x:c r="E139" s="28" t="n">
        <x:f>B139*'Unit Economics'!J19</x:f>
        <x:v>1166793.75</x:v>
      </x:c>
      <x:c r="F139" s="28" t="n">
        <x:f>B139*'Unit Economics'!J11*'Unit Economics'!J17</x:f>
        <x:v>133818.75</x:v>
      </x:c>
      <x:c r="G139" s="28" t="n">
        <x:f>E139-F139+F137</x:f>
        <x:v>1969706.25</x:v>
      </x:c>
      <x:c r="H139" s="28" t="n">
        <x:f>E139*'Global Inputs'!$B$5/(1+'Global Inputs'!$B$5)</x:f>
        <x:v>177985.4872881356</x:v>
      </x:c>
      <x:c r="I139" s="28" t="n">
        <x:f>(C139*(1-'Global Inputs'!$B$14)+C140*'Global Inputs'!$B$14)*'Unit Economics'!J6</x:f>
        <x:v>0</x:v>
      </x:c>
      <x:c r="J139" s="28" t="n">
        <x:f>B139*'Unit Economics'!J41</x:f>
        <x:v>264124.6</x:v>
      </x:c>
      <x:c r="K139" s="28" t="n">
        <x:f>'Global Inputs'!C39*'Unit Economics'!J7</x:f>
        <x:v>140000</x:v>
      </x:c>
      <x:c r="L139" s="28" t="n">
        <x:f>G139-SUM(H139:K139)</x:f>
        <x:v>1387596.1627118643</x:v>
      </x:c>
      <x:c r="M139" s="28" t="n">
        <x:f>SUM(L133:L139)</x:f>
        <x:v>6768159.591525424</x:v>
      </x:c>
      <x:c r="N139" s="28" t="n">
        <x:f>SUM(F133:F139)-(SUM(G133:G139)-SUM(E133:E139)+SUM(F133:F139))</x:f>
        <x:v>535275</x:v>
      </x:c>
    </x:row>
    <x:row r="140" ht="23" customHeight="1">
      <x:c r="A140" s="68" t="n">
        <x:f>8</x:f>
        <x:v>8</x:v>
      </x:c>
      <x:c r="B140" s="46" t="n">
        <x:f>ROUND('Unit Economics'!J4*'Global Inputs'!B40,0)</x:f>
        <x:v>1250</x:v>
      </x:c>
      <x:c r="C140" s="46" t="n">
        <x:f>0</x:f>
        <x:v>0</x:v>
      </x:c>
      <x:c r="D140" s="46" t="n">
        <x:f>SUM(C133:C140)-SUM(B133:B140)</x:f>
        <x:v>2797</x:v>
      </x:c>
      <x:c r="E140" s="28" t="n">
        <x:f>B140*'Unit Economics'!J19</x:f>
        <x:v>583396.875</x:v>
      </x:c>
      <x:c r="F140" s="28" t="n">
        <x:f>B140*'Unit Economics'!J11*'Unit Economics'!J17</x:f>
        <x:v>66909.375</x:v>
      </x:c>
      <x:c r="G140" s="28" t="n">
        <x:f>E140-F140+F138</x:f>
        <x:v>917943.75</x:v>
      </x:c>
      <x:c r="H140" s="28" t="n">
        <x:f>E140*'Global Inputs'!$B$5/(1+'Global Inputs'!$B$5)</x:f>
        <x:v>88992.7436440678</x:v>
      </x:c>
      <x:c r="I140" s="28" t="n">
        <x:f>(C140*(1-'Global Inputs'!$B$14)+C141*'Global Inputs'!$B$14)*'Unit Economics'!J6</x:f>
        <x:v>0</x:v>
      </x:c>
      <x:c r="J140" s="28" t="n">
        <x:f>B140*'Unit Economics'!J41</x:f>
        <x:v>132062.3</x:v>
      </x:c>
      <x:c r="K140" s="28" t="n">
        <x:f>'Global Inputs'!C40*'Unit Economics'!J7</x:f>
        <x:v>140000</x:v>
      </x:c>
      <x:c r="L140" s="28" t="n">
        <x:f>G140-SUM(H140:K140)</x:f>
        <x:v>556888.7063559322</x:v>
      </x:c>
      <x:c r="M140" s="28" t="n">
        <x:f>SUM(L133:L140)</x:f>
        <x:v>7325048.297881356</x:v>
      </x:c>
      <x:c r="N140" s="28" t="n">
        <x:f>SUM(F133:F140)-(SUM(G133:G140)-SUM(E133:E140)+SUM(F133:F140))</x:f>
        <x:v>200728.125</x:v>
      </x:c>
    </x:row>
    <x:row r="141" ht="23" customHeight="1">
      <x:c r="A141" s="68" t="n">
        <x:f>9</x:f>
        <x:v>9</x:v>
      </x:c>
      <x:c r="B141" s="46" t="n">
        <x:f>'Unit Economics'!J4-SUM(B133:B140)</x:f>
        <x:v>1250</x:v>
      </x:c>
      <x:c r="C141" s="46" t="n">
        <x:f>0</x:f>
        <x:v>0</x:v>
      </x:c>
      <x:c r="D141" s="46" t="n">
        <x:f>SUM(C133:C141)-SUM(B133:B141)</x:f>
        <x:v>1547</x:v>
      </x:c>
      <x:c r="E141" s="28" t="n">
        <x:f>B141*'Unit Economics'!J19</x:f>
        <x:v>583396.875</x:v>
      </x:c>
      <x:c r="F141" s="28" t="n">
        <x:f>B141*'Unit Economics'!J11*'Unit Economics'!J17</x:f>
        <x:v>66909.375</x:v>
      </x:c>
      <x:c r="G141" s="28" t="n">
        <x:f>E141-F141+F139</x:f>
        <x:v>650306.25</x:v>
      </x:c>
      <x:c r="H141" s="28" t="n">
        <x:f>E141*'Global Inputs'!$B$5/(1+'Global Inputs'!$B$5)</x:f>
        <x:v>88992.7436440678</x:v>
      </x:c>
      <x:c r="I141" s="28" t="n">
        <x:f>(C141*(1-'Global Inputs'!$B$14)+C142*'Global Inputs'!$B$14)*'Unit Economics'!J6</x:f>
        <x:v>0</x:v>
      </x:c>
      <x:c r="J141" s="28" t="n">
        <x:f>B141*'Unit Economics'!J41</x:f>
        <x:v>132062.3</x:v>
      </x:c>
      <x:c r="K141" s="28" t="n">
        <x:f>'Global Inputs'!C41*'Unit Economics'!J7</x:f>
        <x:v>70000</x:v>
      </x:c>
      <x:c r="L141" s="28" t="n">
        <x:f>G141-SUM(H141:K141)</x:f>
        <x:v>359251.2063559322</x:v>
      </x:c>
      <x:c r="M141" s="28" t="n">
        <x:f>SUM(L133:L141)</x:f>
        <x:v>7684299.504237289</x:v>
      </x:c>
      <x:c r="N141" s="28" t="n">
        <x:f>SUM(F133:F141)-(SUM(G133:G141)-SUM(E133:E141)+SUM(F133:F141))</x:f>
        <x:v>133818.75</x:v>
      </x:c>
    </x:row>
    <x:row r="142" ht="23" customHeight="1">
      <x:c r="A142" s="68" t="n">
        <x:f>10</x:f>
        <x:v>10</x:v>
      </x:c>
      <x:c r="B142" s="46" t="n">
        <x:f>ROUND('Unit Economics'!J4*'Global Inputs'!B42,0)</x:f>
        <x:v>0</x:v>
      </x:c>
      <x:c r="C142" s="46" t="n">
        <x:f>0</x:f>
        <x:v>0</x:v>
      </x:c>
      <x:c r="D142" s="46" t="n">
        <x:f>SUM(C133:C142)-SUM(B133:B142)</x:f>
        <x:v>1547</x:v>
      </x:c>
      <x:c r="E142" s="28" t="n">
        <x:f>B142*'Unit Economics'!J19</x:f>
        <x:v>0</x:v>
      </x:c>
      <x:c r="F142" s="28" t="n">
        <x:f>B142*'Unit Economics'!J11*'Unit Economics'!J17</x:f>
        <x:v>0</x:v>
      </x:c>
      <x:c r="G142" s="28" t="n">
        <x:f>E142-F142+F140</x:f>
        <x:v>66909.375</x:v>
      </x:c>
      <x:c r="H142" s="28" t="n">
        <x:f>E142*'Global Inputs'!$B$5/(1+'Global Inputs'!$B$5)</x:f>
        <x:v>0</x:v>
      </x:c>
      <x:c r="I142" s="28" t="n">
        <x:f>(C142*(1-'Global Inputs'!$B$14)+C143*'Global Inputs'!$B$14)*'Unit Economics'!J6</x:f>
        <x:v>0</x:v>
      </x:c>
      <x:c r="J142" s="28" t="n">
        <x:f>B142*'Unit Economics'!J41</x:f>
        <x:v>0</x:v>
      </x:c>
      <x:c r="K142" s="28" t="n">
        <x:f>'Global Inputs'!C42*'Unit Economics'!J7</x:f>
        <x:v>70000</x:v>
      </x:c>
      <x:c r="L142" s="28" t="n">
        <x:f>G142-SUM(H142:K142)</x:f>
        <x:v>-3090.625</x:v>
      </x:c>
      <x:c r="M142" s="28" t="n">
        <x:f>SUM(L133:L142)</x:f>
        <x:v>7681208.879237289</x:v>
      </x:c>
      <x:c r="N142" s="28" t="n">
        <x:f>SUM(F133:F142)-(SUM(G133:G142)-SUM(E133:E142)+SUM(F133:F142))</x:f>
        <x:v>66909.375</x:v>
      </x:c>
    </x:row>
    <x:row r="143" ht="23" customHeight="1">
      <x:c r="A143" s="68" t="n">
        <x:f>11</x:f>
        <x:v>11</x:v>
      </x:c>
      <x:c r="B143" s="46" t="n">
        <x:f>ROUND('Unit Economics'!J4*'Global Inputs'!B43,0)</x:f>
        <x:v>0</x:v>
      </x:c>
      <x:c r="C143" s="46" t="n">
        <x:f>0</x:f>
        <x:v>0</x:v>
      </x:c>
      <x:c r="D143" s="46" t="n">
        <x:f>SUM(C133:C143)-SUM(B133:B143)</x:f>
        <x:v>1547</x:v>
      </x:c>
      <x:c r="E143" s="28" t="n">
        <x:f>B143*'Unit Economics'!J19</x:f>
        <x:v>0</x:v>
      </x:c>
      <x:c r="F143" s="28" t="n">
        <x:f>B143*'Unit Economics'!J11*'Unit Economics'!J17</x:f>
        <x:v>0</x:v>
      </x:c>
      <x:c r="G143" s="28" t="n">
        <x:f>E143-F143+F141</x:f>
        <x:v>66909.375</x:v>
      </x:c>
      <x:c r="H143" s="28" t="n">
        <x:f>E143*'Global Inputs'!$B$5/(1+'Global Inputs'!$B$5)</x:f>
        <x:v>0</x:v>
      </x:c>
      <x:c r="I143" s="28" t="n">
        <x:f>(C143*(1-'Global Inputs'!$B$14)+C144*'Global Inputs'!$B$14)*'Unit Economics'!J6</x:f>
        <x:v>0</x:v>
      </x:c>
      <x:c r="J143" s="28" t="n">
        <x:f>B143*'Unit Economics'!J41</x:f>
        <x:v>0</x:v>
      </x:c>
      <x:c r="K143" s="28" t="n">
        <x:f>'Global Inputs'!C43*'Unit Economics'!J7</x:f>
        <x:v>70000</x:v>
      </x:c>
      <x:c r="L143" s="28" t="n">
        <x:f>G143-SUM(H143:K143)</x:f>
        <x:v>-3090.625</x:v>
      </x:c>
      <x:c r="M143" s="28" t="n">
        <x:f>SUM(L133:L143)</x:f>
        <x:v>7678118.254237289</x:v>
      </x:c>
      <x:c r="N143" s="28" t="n">
        <x:f>SUM(F133:F143)-(SUM(G133:G143)-SUM(E133:E143)+SUM(F133:F143))</x:f>
        <x:v>0</x:v>
      </x:c>
    </x:row>
    <x:row r="144" ht="23" customHeight="1">
      <x:c r="A144" s="68" t="n">
        <x:f>12</x:f>
        <x:v>12</x:v>
      </x:c>
      <x:c r="B144" s="46" t="n">
        <x:f>ROUND('Unit Economics'!J4*'Global Inputs'!B44,0)</x:f>
        <x:v>0</x:v>
      </x:c>
      <x:c r="C144" s="46" t="n">
        <x:f>0</x:f>
        <x:v>0</x:v>
      </x:c>
      <x:c r="D144" s="46" t="n">
        <x:f>SUM(C133:C144)-SUM(B133:B144)</x:f>
        <x:v>1547</x:v>
      </x:c>
      <x:c r="E144" s="28" t="n">
        <x:f>B144*'Unit Economics'!J19</x:f>
        <x:v>0</x:v>
      </x:c>
      <x:c r="F144" s="28" t="n">
        <x:f>B144*'Unit Economics'!J11*'Unit Economics'!J17</x:f>
        <x:v>0</x:v>
      </x:c>
      <x:c r="G144" s="28" t="n">
        <x:f>E144-F144+F142</x:f>
        <x:v>0</x:v>
      </x:c>
      <x:c r="H144" s="28" t="n">
        <x:f>E144*'Global Inputs'!$B$5/(1+'Global Inputs'!$B$5)</x:f>
        <x:v>0</x:v>
      </x:c>
      <x:c r="I144" s="28" t="n">
        <x:f>(C144*(1-'Global Inputs'!$B$14))*'Unit Economics'!J6</x:f>
        <x:v>0</x:v>
      </x:c>
      <x:c r="J144" s="28" t="n">
        <x:f>B144*'Unit Economics'!J41</x:f>
        <x:v>0</x:v>
      </x:c>
      <x:c r="K144" s="28" t="n">
        <x:f>'Global Inputs'!C44*'Unit Economics'!J7</x:f>
        <x:v>35000</x:v>
      </x:c>
      <x:c r="L144" s="28" t="n">
        <x:f>G144-SUM(H144:K144)</x:f>
        <x:v>-35000</x:v>
      </x:c>
      <x:c r="M144" s="28" t="n">
        <x:f>SUM(L133:L144)</x:f>
        <x:v>7643118.254237289</x:v>
      </x:c>
      <x:c r="N144" s="28" t="n">
        <x:f>SUM(F133:F144)-(SUM(G133:G144)-SUM(E133:E144)+SUM(F133:F144))</x:f>
        <x:v>0</x:v>
      </x:c>
    </x:row>
    <x:row r="145" ht="23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</x:row>
    <x:row r="146" ht="23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</x:row>
  </x:sheetData>
  <x:mergeCells>
    <x:mergeCell ref="A1:N1"/>
    <x:mergeCell ref="A3:N3"/>
    <x:mergeCell ref="A19:N19"/>
    <x:mergeCell ref="A35:N35"/>
    <x:mergeCell ref="A51:N51"/>
    <x:mergeCell ref="A67:N67"/>
    <x:mergeCell ref="A83:N83"/>
    <x:mergeCell ref="A99:N99"/>
    <x:mergeCell ref="A115:N115"/>
    <x:mergeCell ref="A131:N13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8" customHeight="1">
      <x:c r="A1" s="8" t="str">
        <x:v>DTC CONTRIBUTION SENSITIVITY | INR PER RETAINED BOOK, 5,000-BOOK BASE COST TIER</x:v>
      </x:c>
      <x:c r="B1" s="8"/>
      <x:c r="C1" s="8"/>
      <x:c r="D1" s="8"/>
      <x:c r="E1" s="8"/>
      <x:c r="F1" s="8"/>
      <x:c r="G1" s="8"/>
    </x:row>
    <x:row r="2" ht="23" customHeight="1">
      <x:c r="A2" s="4"/>
      <x:c r="B2" s="4"/>
      <x:c r="C2" s="4"/>
      <x:c r="D2" s="4"/>
      <x:c r="E2" s="4"/>
      <x:c r="F2" s="4"/>
      <x:c r="G2" s="4"/>
    </x:row>
    <x:row r="3" ht="40" customHeight="1">
      <x:c r="A3" s="14" t="str">
        <x:v>Realized price / CAC per customer</x:v>
      </x:c>
      <x:c r="B3" s="23" t="n">
        <x:v>50</x:v>
      </x:c>
      <x:c r="C3" s="23" t="n">
        <x:v>100</x:v>
      </x:c>
      <x:c r="D3" s="23" t="n">
        <x:v>150</x:v>
      </x:c>
      <x:c r="E3" s="23" t="n">
        <x:v>200</x:v>
      </x:c>
      <x:c r="F3" s="23" t="n">
        <x:v>250</x:v>
      </x:c>
      <x:c r="G3" s="14"/>
    </x:row>
    <x:row r="4" ht="23" customHeight="1">
      <x:c r="A4" s="19" t="n">
        <x:v>349</x:v>
      </x:c>
      <x:c r="B4" s="36" t="n">
        <x:f>$A4/(1+'Global Inputs'!$B$5)-'Unit Economics'!F$24-'Unit Economics'!F$26-'Unit Economics'!F$27-('Scenario Inputs'!$C$14+'Scenario Inputs'!$C$15)/'Scenario Inputs'!$C$12-$A4*'Global Inputs'!$B$6*(1+'Global Inputs'!$B$7)-'Scenario Inputs'!$C$22-B$3/'Scenario Inputs'!$C$12</x:f>
        <x:v>38.44764519774015</x:v>
      </x:c>
      <x:c r="C4" s="36" t="n">
        <x:f>$A4/(1+'Global Inputs'!$B$5)-'Unit Economics'!F$24-'Unit Economics'!F$26-'Unit Economics'!F$27-('Scenario Inputs'!$C$14+'Scenario Inputs'!$C$15)/'Scenario Inputs'!$C$12-$A4*'Global Inputs'!$B$6*(1+'Global Inputs'!$B$7)-'Scenario Inputs'!$C$22-C$3/'Scenario Inputs'!$C$12</x:f>
        <x:v>5.114311864406815</x:v>
      </x:c>
      <x:c r="D4" s="36" t="n">
        <x:f>$A4/(1+'Global Inputs'!$B$5)-'Unit Economics'!F$24-'Unit Economics'!F$26-'Unit Economics'!F$27-('Scenario Inputs'!$C$14+'Scenario Inputs'!$C$15)/'Scenario Inputs'!$C$12-$A4*'Global Inputs'!$B$6*(1+'Global Inputs'!$B$7)-'Scenario Inputs'!$C$22-D$3/'Scenario Inputs'!$C$12</x:f>
        <x:v>-28.219021468926513</x:v>
      </x:c>
      <x:c r="E4" s="36" t="n">
        <x:f>$A4/(1+'Global Inputs'!$B$5)-'Unit Economics'!F$24-'Unit Economics'!F$26-'Unit Economics'!F$27-('Scenario Inputs'!$C$14+'Scenario Inputs'!$C$15)/'Scenario Inputs'!$C$12-$A4*'Global Inputs'!$B$6*(1+'Global Inputs'!$B$7)-'Scenario Inputs'!$C$22-E$3/'Scenario Inputs'!$C$12</x:f>
        <x:v>-61.552354802259856</x:v>
      </x:c>
      <x:c r="F4" s="36" t="n">
        <x:f>$A4/(1+'Global Inputs'!$B$5)-'Unit Economics'!F$24-'Unit Economics'!F$26-'Unit Economics'!F$27-('Scenario Inputs'!$C$14+'Scenario Inputs'!$C$15)/'Scenario Inputs'!$C$12-$A4*'Global Inputs'!$B$6*(1+'Global Inputs'!$B$7)-'Scenario Inputs'!$C$22-F$3/'Scenario Inputs'!$C$12</x:f>
        <x:v>-94.88568813559317</x:v>
      </x:c>
      <x:c r="G4" s="4"/>
    </x:row>
    <x:row r="5" ht="23" customHeight="1">
      <x:c r="A5" s="19" t="n">
        <x:v>399</x:v>
      </x:c>
      <x:c r="B5" s="36" t="n">
        <x:f>$A5/(1+'Global Inputs'!$B$5)-'Unit Economics'!F$24-'Unit Economics'!F$26-'Unit Economics'!F$27-('Scenario Inputs'!$C$14+'Scenario Inputs'!$C$15)/'Scenario Inputs'!$C$12-$A5*'Global Inputs'!$B$6*(1+'Global Inputs'!$B$7)-'Scenario Inputs'!$C$22-B$3/'Scenario Inputs'!$C$12</x:f>
        <x:v>79.64052655367234</x:v>
      </x:c>
      <x:c r="C5" s="36" t="n">
        <x:f>$A5/(1+'Global Inputs'!$B$5)-'Unit Economics'!F$24-'Unit Economics'!F$26-'Unit Economics'!F$27-('Scenario Inputs'!$C$14+'Scenario Inputs'!$C$15)/'Scenario Inputs'!$C$12-$A5*'Global Inputs'!$B$6*(1+'Global Inputs'!$B$7)-'Scenario Inputs'!$C$22-C$3/'Scenario Inputs'!$C$12</x:f>
        <x:v>46.307193220339</x:v>
      </x:c>
      <x:c r="D5" s="36" t="n">
        <x:f>$A5/(1+'Global Inputs'!$B$5)-'Unit Economics'!F$24-'Unit Economics'!F$26-'Unit Economics'!F$27-('Scenario Inputs'!$C$14+'Scenario Inputs'!$C$15)/'Scenario Inputs'!$C$12-$A5*'Global Inputs'!$B$6*(1+'Global Inputs'!$B$7)-'Scenario Inputs'!$C$22-D$3/'Scenario Inputs'!$C$12</x:f>
        <x:v>12.973859887005673</x:v>
      </x:c>
      <x:c r="E5" s="36" t="n">
        <x:f>$A5/(1+'Global Inputs'!$B$5)-'Unit Economics'!F$24-'Unit Economics'!F$26-'Unit Economics'!F$27-('Scenario Inputs'!$C$14+'Scenario Inputs'!$C$15)/'Scenario Inputs'!$C$12-$A5*'Global Inputs'!$B$6*(1+'Global Inputs'!$B$7)-'Scenario Inputs'!$C$22-E$3/'Scenario Inputs'!$C$12</x:f>
        <x:v>-20.35947344632767</x:v>
      </x:c>
      <x:c r="F5" s="36" t="n">
        <x:f>$A5/(1+'Global Inputs'!$B$5)-'Unit Economics'!F$24-'Unit Economics'!F$26-'Unit Economics'!F$27-('Scenario Inputs'!$C$14+'Scenario Inputs'!$C$15)/'Scenario Inputs'!$C$12-$A5*'Global Inputs'!$B$6*(1+'Global Inputs'!$B$7)-'Scenario Inputs'!$C$22-F$3/'Scenario Inputs'!$C$12</x:f>
        <x:v>-53.692806779660984</x:v>
      </x:c>
      <x:c r="G5" s="4"/>
    </x:row>
    <x:row r="6" ht="23" customHeight="1">
      <x:c r="A6" s="19" t="n">
        <x:v>449</x:v>
      </x:c>
      <x:c r="B6" s="36" t="n">
        <x:f>$A6/(1+'Global Inputs'!$B$5)-'Unit Economics'!F$24-'Unit Economics'!F$26-'Unit Economics'!F$27-('Scenario Inputs'!$C$14+'Scenario Inputs'!$C$15)/'Scenario Inputs'!$C$12-$A6*'Global Inputs'!$B$6*(1+'Global Inputs'!$B$7)-'Scenario Inputs'!$C$22-B$3/'Scenario Inputs'!$C$12</x:f>
        <x:v>120.83340790960457</x:v>
      </x:c>
      <x:c r="C6" s="36" t="n">
        <x:f>$A6/(1+'Global Inputs'!$B$5)-'Unit Economics'!F$24-'Unit Economics'!F$26-'Unit Economics'!F$27-('Scenario Inputs'!$C$14+'Scenario Inputs'!$C$15)/'Scenario Inputs'!$C$12-$A6*'Global Inputs'!$B$6*(1+'Global Inputs'!$B$7)-'Scenario Inputs'!$C$22-C$3/'Scenario Inputs'!$C$12</x:f>
        <x:v>87.50007457627125</x:v>
      </x:c>
      <x:c r="D6" s="36" t="n">
        <x:f>$A6/(1+'Global Inputs'!$B$5)-'Unit Economics'!F$24-'Unit Economics'!F$26-'Unit Economics'!F$27-('Scenario Inputs'!$C$14+'Scenario Inputs'!$C$15)/'Scenario Inputs'!$C$12-$A6*'Global Inputs'!$B$6*(1+'Global Inputs'!$B$7)-'Scenario Inputs'!$C$22-D$3/'Scenario Inputs'!$C$12</x:f>
        <x:v>54.16674124293792</x:v>
      </x:c>
      <x:c r="E6" s="36" t="n">
        <x:f>$A6/(1+'Global Inputs'!$B$5)-'Unit Economics'!F$24-'Unit Economics'!F$26-'Unit Economics'!F$27-('Scenario Inputs'!$C$14+'Scenario Inputs'!$C$15)/'Scenario Inputs'!$C$12-$A6*'Global Inputs'!$B$6*(1+'Global Inputs'!$B$7)-'Scenario Inputs'!$C$22-E$3/'Scenario Inputs'!$C$12</x:f>
        <x:v>20.833407909604574</x:v>
      </x:c>
      <x:c r="F6" s="36" t="n">
        <x:f>$A6/(1+'Global Inputs'!$B$5)-'Unit Economics'!F$24-'Unit Economics'!F$26-'Unit Economics'!F$27-('Scenario Inputs'!$C$14+'Scenario Inputs'!$C$15)/'Scenario Inputs'!$C$12-$A6*'Global Inputs'!$B$6*(1+'Global Inputs'!$B$7)-'Scenario Inputs'!$C$22-F$3/'Scenario Inputs'!$C$12</x:f>
        <x:v>-12.49992542372874</x:v>
      </x:c>
      <x:c r="G6" s="4"/>
    </x:row>
    <x:row r="7" ht="23" customHeight="1">
      <x:c r="A7" s="19" t="n">
        <x:v>479</x:v>
      </x:c>
      <x:c r="B7" s="36" t="n">
        <x:f>$A7/(1+'Global Inputs'!$B$5)-'Unit Economics'!F$24-'Unit Economics'!F$26-'Unit Economics'!F$27-('Scenario Inputs'!$C$14+'Scenario Inputs'!$C$15)/'Scenario Inputs'!$C$12-$A7*'Global Inputs'!$B$6*(1+'Global Inputs'!$B$7)-'Scenario Inputs'!$C$22-B$3/'Scenario Inputs'!$C$12</x:f>
        <x:v>145.54913672316388</x:v>
      </x:c>
      <x:c r="C7" s="36" t="n">
        <x:f>$A7/(1+'Global Inputs'!$B$5)-'Unit Economics'!F$24-'Unit Economics'!F$26-'Unit Economics'!F$27-('Scenario Inputs'!$C$14+'Scenario Inputs'!$C$15)/'Scenario Inputs'!$C$12-$A7*'Global Inputs'!$B$6*(1+'Global Inputs'!$B$7)-'Scenario Inputs'!$C$22-C$3/'Scenario Inputs'!$C$12</x:f>
        <x:v>112.21580338983055</x:v>
      </x:c>
      <x:c r="D7" s="36" t="n">
        <x:f>$A7/(1+'Global Inputs'!$B$5)-'Unit Economics'!F$24-'Unit Economics'!F$26-'Unit Economics'!F$27-('Scenario Inputs'!$C$14+'Scenario Inputs'!$C$15)/'Scenario Inputs'!$C$12-$A7*'Global Inputs'!$B$6*(1+'Global Inputs'!$B$7)-'Scenario Inputs'!$C$22-D$3/'Scenario Inputs'!$C$12</x:f>
        <x:v>78.88247005649723</x:v>
      </x:c>
      <x:c r="E7" s="36" t="n">
        <x:f>$A7/(1+'Global Inputs'!$B$5)-'Unit Economics'!F$24-'Unit Economics'!F$26-'Unit Economics'!F$27-('Scenario Inputs'!$C$14+'Scenario Inputs'!$C$15)/'Scenario Inputs'!$C$12-$A7*'Global Inputs'!$B$6*(1+'Global Inputs'!$B$7)-'Scenario Inputs'!$C$22-E$3/'Scenario Inputs'!$C$12</x:f>
        <x:v>45.54913672316388</x:v>
      </x:c>
      <x:c r="F7" s="36" t="n">
        <x:f>$A7/(1+'Global Inputs'!$B$5)-'Unit Economics'!F$24-'Unit Economics'!F$26-'Unit Economics'!F$27-('Scenario Inputs'!$C$14+'Scenario Inputs'!$C$15)/'Scenario Inputs'!$C$12-$A7*'Global Inputs'!$B$6*(1+'Global Inputs'!$B$7)-'Scenario Inputs'!$C$22-F$3/'Scenario Inputs'!$C$12</x:f>
        <x:v>12.215803389830569</x:v>
      </x:c>
      <x:c r="G7" s="4"/>
    </x:row>
    <x:row r="8" ht="23" customHeight="1">
      <x:c r="A8" s="19" t="n">
        <x:v>499</x:v>
      </x:c>
      <x:c r="B8" s="36" t="n">
        <x:f>$A8/(1+'Global Inputs'!$B$5)-'Unit Economics'!F$24-'Unit Economics'!F$26-'Unit Economics'!F$27-('Scenario Inputs'!$C$14+'Scenario Inputs'!$C$15)/'Scenario Inputs'!$C$12-$A8*'Global Inputs'!$B$6*(1+'Global Inputs'!$B$7)-'Scenario Inputs'!$C$22-B$3/'Scenario Inputs'!$C$12</x:f>
        <x:v>162.02628926553675</x:v>
      </x:c>
      <x:c r="C8" s="36" t="n">
        <x:f>$A8/(1+'Global Inputs'!$B$5)-'Unit Economics'!F$24-'Unit Economics'!F$26-'Unit Economics'!F$27-('Scenario Inputs'!$C$14+'Scenario Inputs'!$C$15)/'Scenario Inputs'!$C$12-$A8*'Global Inputs'!$B$6*(1+'Global Inputs'!$B$7)-'Scenario Inputs'!$C$22-C$3/'Scenario Inputs'!$C$12</x:f>
        <x:v>128.6929559322034</x:v>
      </x:c>
      <x:c r="D8" s="36" t="n">
        <x:f>$A8/(1+'Global Inputs'!$B$5)-'Unit Economics'!F$24-'Unit Economics'!F$26-'Unit Economics'!F$27-('Scenario Inputs'!$C$14+'Scenario Inputs'!$C$15)/'Scenario Inputs'!$C$12-$A8*'Global Inputs'!$B$6*(1+'Global Inputs'!$B$7)-'Scenario Inputs'!$C$22-D$3/'Scenario Inputs'!$C$12</x:f>
        <x:v>95.35962259887009</x:v>
      </x:c>
      <x:c r="E8" s="36" t="n">
        <x:f>$A8/(1+'Global Inputs'!$B$5)-'Unit Economics'!F$24-'Unit Economics'!F$26-'Unit Economics'!F$27-('Scenario Inputs'!$C$14+'Scenario Inputs'!$C$15)/'Scenario Inputs'!$C$12-$A8*'Global Inputs'!$B$6*(1+'Global Inputs'!$B$7)-'Scenario Inputs'!$C$22-E$3/'Scenario Inputs'!$C$12</x:f>
        <x:v>62.02628926553675</x:v>
      </x:c>
      <x:c r="F8" s="36" t="n">
        <x:f>$A8/(1+'Global Inputs'!$B$5)-'Unit Economics'!F$24-'Unit Economics'!F$26-'Unit Economics'!F$27-('Scenario Inputs'!$C$14+'Scenario Inputs'!$C$15)/'Scenario Inputs'!$C$12-$A8*'Global Inputs'!$B$6*(1+'Global Inputs'!$B$7)-'Scenario Inputs'!$C$22-F$3/'Scenario Inputs'!$C$12</x:f>
        <x:v>28.692955932203432</x:v>
      </x:c>
      <x:c r="G8" s="4"/>
    </x:row>
    <x:row r="9" ht="23" customHeight="1">
      <x:c r="A9" s="19" t="n">
        <x:v>549</x:v>
      </x:c>
      <x:c r="B9" s="36" t="n">
        <x:f>$A9/(1+'Global Inputs'!$B$5)-'Unit Economics'!F$24-'Unit Economics'!F$26-'Unit Economics'!F$27-('Scenario Inputs'!$C$14+'Scenario Inputs'!$C$15)/'Scenario Inputs'!$C$12-$A9*'Global Inputs'!$B$6*(1+'Global Inputs'!$B$7)-'Scenario Inputs'!$C$22-B$3/'Scenario Inputs'!$C$12</x:f>
        <x:v>203.219170621469</x:v>
      </x:c>
      <x:c r="C9" s="36" t="n">
        <x:f>$A9/(1+'Global Inputs'!$B$5)-'Unit Economics'!F$24-'Unit Economics'!F$26-'Unit Economics'!F$27-('Scenario Inputs'!$C$14+'Scenario Inputs'!$C$15)/'Scenario Inputs'!$C$12-$A9*'Global Inputs'!$B$6*(1+'Global Inputs'!$B$7)-'Scenario Inputs'!$C$22-C$3/'Scenario Inputs'!$C$12</x:f>
        <x:v>169.8858372881357</x:v>
      </x:c>
      <x:c r="D9" s="36" t="n">
        <x:f>$A9/(1+'Global Inputs'!$B$5)-'Unit Economics'!F$24-'Unit Economics'!F$26-'Unit Economics'!F$27-('Scenario Inputs'!$C$14+'Scenario Inputs'!$C$15)/'Scenario Inputs'!$C$12-$A9*'Global Inputs'!$B$6*(1+'Global Inputs'!$B$7)-'Scenario Inputs'!$C$22-D$3/'Scenario Inputs'!$C$12</x:f>
        <x:v>136.55250395480235</x:v>
      </x:c>
      <x:c r="E9" s="36" t="n">
        <x:f>$A9/(1+'Global Inputs'!$B$5)-'Unit Economics'!F$24-'Unit Economics'!F$26-'Unit Economics'!F$27-('Scenario Inputs'!$C$14+'Scenario Inputs'!$C$15)/'Scenario Inputs'!$C$12-$A9*'Global Inputs'!$B$6*(1+'Global Inputs'!$B$7)-'Scenario Inputs'!$C$22-E$3/'Scenario Inputs'!$C$12</x:f>
        <x:v>103.219170621469</x:v>
      </x:c>
      <x:c r="F9" s="36" t="n">
        <x:f>$A9/(1+'Global Inputs'!$B$5)-'Unit Economics'!F$24-'Unit Economics'!F$26-'Unit Economics'!F$27-('Scenario Inputs'!$C$14+'Scenario Inputs'!$C$15)/'Scenario Inputs'!$C$12-$A9*'Global Inputs'!$B$6*(1+'Global Inputs'!$B$7)-'Scenario Inputs'!$C$22-F$3/'Scenario Inputs'!$C$12</x:f>
        <x:v>69.88583728813569</x:v>
      </x:c>
      <x:c r="G9" s="4"/>
    </x:row>
    <x:row r="10" ht="23" customHeight="1">
      <x:c r="A10" s="4"/>
      <x:c r="B10" s="4"/>
      <x:c r="C10" s="4"/>
      <x:c r="D10" s="4"/>
      <x:c r="E10" s="4"/>
      <x:c r="F10" s="4"/>
      <x:c r="G10" s="4"/>
    </x:row>
    <x:row r="11" ht="23" customHeight="1">
      <x:c r="A11" s="4"/>
      <x:c r="B11" s="4"/>
      <x:c r="C11" s="4"/>
      <x:c r="D11" s="4"/>
      <x:c r="E11" s="4"/>
      <x:c r="F11" s="4"/>
      <x:c r="G11" s="4"/>
    </x:row>
    <x:row r="12" ht="23" customHeight="1">
      <x:c r="A12" s="82" t="str">
        <x:v>This table is DTC only. It does not include fixed-cost recovery. At lower price, recalibrate conversion and basket size rather than assuming demand rises automatically. Per-order CAC and per-book contribution are different units.</x:v>
      </x:c>
      <x:c r="B12" s="82"/>
      <x:c r="C12" s="82"/>
      <x:c r="D12" s="82"/>
      <x:c r="E12" s="82"/>
      <x:c r="F12" s="82"/>
      <x:c r="G12" s="4"/>
    </x:row>
    <x:row r="13" ht="23" customHeight="1">
      <x:c r="A13" s="82"/>
      <x:c r="B13" s="82"/>
      <x:c r="C13" s="82"/>
      <x:c r="D13" s="82"/>
      <x:c r="E13" s="82"/>
      <x:c r="F13" s="82"/>
      <x:c r="G13" s="4"/>
    </x:row>
    <x:row r="14" ht="23" customHeight="1">
      <x:c r="A14" s="82"/>
      <x:c r="B14" s="82"/>
      <x:c r="C14" s="82"/>
      <x:c r="D14" s="82"/>
      <x:c r="E14" s="82"/>
      <x:c r="F14" s="82"/>
      <x:c r="G14" s="4"/>
    </x:row>
    <x:row r="15" ht="23" customHeight="1">
      <x:c r="A15" s="4"/>
      <x:c r="B15" s="4"/>
      <x:c r="C15" s="4"/>
      <x:c r="D15" s="4"/>
      <x:c r="E15" s="4"/>
      <x:c r="F15" s="4"/>
      <x:c r="G15" s="4"/>
    </x:row>
    <x:row r="16" ht="23" customHeight="1">
      <x:c r="A16" s="4"/>
      <x:c r="B16" s="4"/>
      <x:c r="C16" s="4"/>
      <x:c r="D16" s="4"/>
      <x:c r="E16" s="4"/>
      <x:c r="F16" s="4"/>
      <x:c r="G16" s="4"/>
    </x:row>
    <x:row r="17" ht="23" customHeight="1">
      <x:c r="A17" s="4" t="str">
        <x:v>Maximum DTC CAC with INR 100/book contribution target</x:v>
      </x:c>
      <x:c r="B17" s="4"/>
      <x:c r="C17" s="4"/>
      <x:c r="D17" s="4"/>
      <x:c r="E17" s="4"/>
      <x:c r="F17" s="4"/>
      <x:c r="G17" s="4"/>
    </x:row>
    <x:row r="18" ht="23" customHeight="1">
      <x:c r="A18" s="4" t="str">
        <x:v>Target contribution / book</x:v>
      </x:c>
      <x:c r="B18" s="19" t="n">
        <x:v>100</x:v>
      </x:c>
      <x:c r="C18" s="4"/>
      <x:c r="D18" s="4"/>
      <x:c r="E18" s="4"/>
      <x:c r="F18" s="4"/>
      <x:c r="G18" s="4"/>
    </x:row>
    <x:row r="19" ht="23" customHeight="1">
      <x:c r="A19" s="4" t="str">
        <x:v>Base DTC basket</x:v>
      </x:c>
      <x:c r="B19" s="4" t="n">
        <x:f>'Scenario Inputs'!$C$12</x:f>
        <x:v>1.5</x:v>
      </x:c>
      <x:c r="C19" s="4"/>
      <x:c r="D19" s="4"/>
      <x:c r="E19" s="4"/>
      <x:c r="F19" s="4"/>
      <x:c r="G19" s="4"/>
    </x:row>
    <x:row r="20" ht="23" customHeight="1">
      <x:c r="A20" s="4" t="str">
        <x:v>Base DTC contribution BEFORE acquisition / book</x:v>
      </x:c>
      <x:c r="B20" s="4" t="n">
        <x:f>'Unit Economics'!F47+'Unit Economics'!F36</x:f>
        <x:v>178.88247005649723</x:v>
      </x:c>
      <x:c r="C20" s="4"/>
      <x:c r="D20" s="4"/>
      <x:c r="E20" s="4"/>
      <x:c r="F20" s="4"/>
      <x:c r="G20" s="4"/>
    </x:row>
    <x:row r="21" ht="23" customHeight="1">
      <x:c r="A21" s="4" t="str">
        <x:v>Maximum CAC / order</x:v>
      </x:c>
      <x:c r="B21" s="4" t="n">
        <x:f>MAX(0,(B20-B18)*B19)</x:f>
        <x:v>118.32370508474584</x:v>
      </x:c>
      <x:c r="C21" s="4"/>
      <x:c r="D21" s="4"/>
      <x:c r="E21" s="4"/>
      <x:c r="F21" s="4"/>
      <x:c r="G21" s="4"/>
    </x:row>
    <x:row r="22" ht="23" customHeight="1">
      <x:c r="A22" s="4"/>
      <x:c r="B22" s="4"/>
      <x:c r="C22" s="4"/>
      <x:c r="D22" s="4"/>
      <x:c r="E22" s="4"/>
      <x:c r="F22" s="4"/>
      <x:c r="G22" s="4"/>
    </x:row>
    <x:row r="23" ht="23" customHeight="1">
      <x:c r="A23" s="4"/>
      <x:c r="B23" s="4"/>
      <x:c r="C23" s="4"/>
      <x:c r="D23" s="4"/>
      <x:c r="E23" s="4"/>
      <x:c r="F23" s="4"/>
      <x:c r="G23" s="4"/>
    </x:row>
  </x:sheetData>
  <x:mergeCells>
    <x:mergeCell ref="A1:G1"/>
    <x:mergeCell ref="A12:F14"/>
  </x:mergeCells>
  <x:conditionalFormatting sqref="B4:F9">
    <x:cfRule type="colorScale" priority="1">
      <x:colorScale>
        <x:cfvo type="min"/>
        <x:cfvo type="percentile" val="50"/>
        <x:cfvo type="max"/>
        <x:color rgb="FFFCE8E6"/>
        <x:color rgb="FFFFF4CF"/>
        <x:color rgb="FFDDEFE9"/>
      </x:colorScale>
    </x:cfRule>
  </x:conditionalFormatting>
  <x:pageMargins left="0.7" right="0.7" top="0.75" bottom="0.75" header="0.3" footer="0.3"/>
  <x:legacyDrawing xmlns:r="http://schemas.openxmlformats.org/officeDocument/2006/relationships" r:id="Rea9d3ab7cd294ffd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3" hidden="0" customWidth="1"/>
    <x:col min="2" max="2" width="24" hidden="0" customWidth="1"/>
    <x:col min="3" max="3" width="16" hidden="0" customWidth="1"/>
    <x:col min="4" max="4" width="16" hidden="0" customWidth="1"/>
  </x:cols>
  <x:sheetData>
    <x:row r="1" ht="38" customHeight="1">
      <x:c r="A1" s="8" t="str">
        <x:v>OPTIONAL DIGITAL-ONLY SUBJECT | NOT ADDED TO BOOK-SCENARIO REVENUE</x:v>
      </x:c>
      <x:c r="B1" s="8"/>
      <x:c r="C1" s="8"/>
      <x:c r="D1" s="8"/>
    </x:row>
    <x:row r="2" ht="23" customHeight="1">
      <x:c r="A2" s="4"/>
      <x:c r="B2" s="4"/>
      <x:c r="C2" s="4"/>
      <x:c r="D2" s="4"/>
    </x:row>
    <x:row r="3" ht="40" customHeight="1">
      <x:c r="A3" s="14" t="str">
        <x:v>Metric</x:v>
      </x:c>
      <x:c r="B3" s="14" t="str">
        <x:v>INR / paid subject customer</x:v>
      </x:c>
      <x:c r="C3" s="14"/>
      <x:c r="D3" s="14"/>
    </x:row>
    <x:row r="4" ht="23" customHeight="1">
      <x:c r="A4" s="4" t="str">
        <x:v>Digital selling price incl. modeled GST</x:v>
      </x:c>
      <x:c r="B4" s="36" t="n">
        <x:f>'Global Inputs'!$B$13</x:f>
        <x:v>299</x:v>
      </x:c>
      <x:c r="C4" s="4"/>
      <x:c r="D4" s="4"/>
    </x:row>
    <x:row r="5" ht="23" customHeight="1">
      <x:c r="A5" s="4" t="str">
        <x:v>Revenue excluding GST</x:v>
      </x:c>
      <x:c r="B5" s="36" t="n">
        <x:f>B4/(1+'Global Inputs'!$B$5)</x:f>
        <x:v>253.3898305084746</x:v>
      </x:c>
      <x:c r="C5" s="4"/>
      <x:c r="D5" s="4"/>
    </x:row>
    <x:row r="6" ht="23" customHeight="1">
      <x:c r="A6" s="4" t="str">
        <x:v>Gateway cash cost</x:v>
      </x:c>
      <x:c r="B6" s="36" t="n">
        <x:f>B4*'Global Inputs'!$B$6*(1+'Global Inputs'!$B$7)</x:f>
        <x:v>7.0564</x:v>
      </x:c>
      <x:c r="C6" s="4"/>
      <x:c r="D6" s="4"/>
    </x:row>
    <x:row r="7" ht="23" customHeight="1">
      <x:c r="A7" s="4" t="str">
        <x:v>Full-edition delivery reserve</x:v>
      </x:c>
      <x:c r="B7" s="36" t="n">
        <x:f>'Global Inputs'!$B$10/1000*'Global Inputs'!$B$9*'Global Inputs'!$B$8*(1+'Global Inputs'!$B$11)*'Global Inputs'!$B$19</x:f>
        <x:v>42.48</x:v>
      </x:c>
      <x:c r="C7" s="4"/>
      <x:c r="D7" s="4"/>
    </x:row>
    <x:row r="8" ht="23" customHeight="1">
      <x:c r="A8" s="4" t="str">
        <x:v>Support and refund reserve</x:v>
      </x:c>
      <x:c r="B8" s="36" t="n">
        <x:f>'Global Inputs'!$B$18</x:f>
        <x:v>12</x:v>
      </x:c>
      <x:c r="C8" s="4"/>
      <x:c r="D8" s="4"/>
    </x:row>
    <x:row r="9" ht="23" customHeight="1">
      <x:c r="A9" s="4" t="str">
        <x:v>Incremental acquisition</x:v>
      </x:c>
      <x:c r="B9" s="36" t="n">
        <x:f>'Global Inputs'!$B$17</x:f>
        <x:v>80</x:v>
      </x:c>
      <x:c r="C9" s="4"/>
      <x:c r="D9" s="4"/>
    </x:row>
    <x:row r="10" ht="23" customHeight="1">
      <x:c r="A10" s="4" t="str">
        <x:v>Contribution before fixed creation costs</x:v>
      </x:c>
      <x:c r="B10" s="36" t="n">
        <x:f>B5-SUM(B6:B9)</x:f>
        <x:v>111.85343050847459</x:v>
      </x:c>
      <x:c r="C10" s="4"/>
      <x:c r="D10" s="4"/>
    </x:row>
    <x:row r="11" ht="23" customHeight="1">
      <x:c r="A11" s="4" t="str">
        <x:v>Contribution margin</x:v>
      </x:c>
      <x:c r="B11" s="48" t="n">
        <x:f>B10/B5</x:f>
        <x:v>0.441428254180602</x:v>
      </x:c>
      <x:c r="C11" s="4"/>
      <x:c r="D11" s="4"/>
    </x:row>
    <x:row r="12" ht="23" customHeight="1">
      <x:c r="A12" s="4"/>
      <x:c r="B12" s="4"/>
      <x:c r="C12" s="4"/>
      <x:c r="D12" s="4"/>
    </x:row>
    <x:row r="13" ht="23" customHeight="1">
      <x:c r="A13" s="4"/>
      <x:c r="B13" s="4"/>
      <x:c r="C13" s="4"/>
      <x:c r="D13" s="4"/>
    </x:row>
    <x:row r="14" ht="23" customHeight="1">
      <x:c r="A14" s="82" t="str">
        <x:v>Book upgrade: credit the actual digital payment against the same-subject book bundle within a disclosed period. Keep one entitlement; do not count the upgrade as a second full digital sale. Test incremental contribution and cannibalisation, not only conversion. No recurring subscription is assumed.</x:v>
      </x:c>
      <x:c r="B14" s="82"/>
      <x:c r="C14" s="82"/>
      <x:c r="D14" s="82"/>
    </x:row>
    <x:row r="15" ht="23" customHeight="1">
      <x:c r="A15" s="82"/>
      <x:c r="B15" s="82"/>
      <x:c r="C15" s="82"/>
      <x:c r="D15" s="82"/>
    </x:row>
    <x:row r="16" ht="23" customHeight="1">
      <x:c r="A16" s="82"/>
      <x:c r="B16" s="82"/>
      <x:c r="C16" s="82"/>
      <x:c r="D16" s="82"/>
    </x:row>
    <x:row r="17" ht="23" customHeight="1">
      <x:c r="A17" s="82"/>
      <x:c r="B17" s="82"/>
      <x:c r="C17" s="82"/>
      <x:c r="D17" s="82"/>
    </x:row>
    <x:row r="18" ht="23" customHeight="1">
      <x:c r="A18" s="4"/>
      <x:c r="B18" s="4"/>
      <x:c r="C18" s="4"/>
      <x:c r="D18" s="4"/>
    </x:row>
  </x:sheetData>
  <x:mergeCells>
    <x:mergeCell ref="A1:D1"/>
    <x:mergeCell ref="A14:D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3" hidden="0" customWidth="1"/>
    <x:col min="2" max="2" width="21" hidden="0" customWidth="1"/>
    <x:col min="3" max="3" width="63" hidden="0" customWidth="1"/>
    <x:col min="4" max="4" width="25" hidden="0" customWidth="1"/>
    <x:col min="5" max="5" width="12" hidden="0" customWidth="1"/>
    <x:col min="6" max="6" width="12" hidden="0" customWidth="1"/>
  </x:cols>
  <x:sheetData>
    <x:row r="1" ht="38" customHeight="1">
      <x:c r="A1" s="8" t="str">
        <x:v>FUNNEL | DEDUPLICATED STAGES, NOT REEL VIEWS = CUSTOMERS</x:v>
      </x:c>
      <x:c r="B1" s="8"/>
      <x:c r="C1" s="8"/>
      <x:c r="D1" s="8"/>
      <x:c r="E1" s="8"/>
      <x:c r="F1" s="8"/>
    </x:row>
    <x:row r="2" ht="23" customHeight="1">
      <x:c r="A2" s="4"/>
      <x:c r="B2" s="4"/>
      <x:c r="C2" s="4"/>
      <x:c r="D2" s="4"/>
      <x:c r="E2" s="4"/>
      <x:c r="F2" s="4"/>
    </x:row>
    <x:row r="3" ht="40" customHeight="1">
      <x:c r="A3" s="14" t="str">
        <x:v>Stage</x:v>
      </x:c>
      <x:c r="B3" s="14" t="str">
        <x:v>Value</x:v>
      </x:c>
      <x:c r="C3" s="14" t="str">
        <x:v>Definition / caveat</x:v>
      </x:c>
      <x:c r="D3" s="14"/>
      <x:c r="E3" s="14"/>
      <x:c r="F3" s="14"/>
    </x:row>
    <x:row r="4" ht="42" customHeight="1">
      <x:c r="A4" s="64" t="str">
        <x:v>Unique accounts reached</x:v>
      </x:c>
      <x:c r="B4" s="84" t="n">
        <x:v>1000000</x:v>
      </x:c>
      <x:c r="C4" s="64" t="str">
        <x:v>Illustration only; not guaranteed reach</x:v>
      </x:c>
      <x:c r="D4" s="4"/>
      <x:c r="E4" s="4"/>
      <x:c r="F4" s="4"/>
    </x:row>
    <x:row r="5" ht="42" customHeight="1">
      <x:c r="A5" s="64" t="str">
        <x:v>Share matching geography/class/medium</x:v>
      </x:c>
      <x:c r="B5" s="86" t="n">
        <x:v>0.2</x:v>
      </x:c>
      <x:c r="C5" s="64" t="str">
        <x:v>Estimate; do not profile minors with third-party advertising pixels</x:v>
      </x:c>
      <x:c r="D5" s="4"/>
      <x:c r="E5" s="4"/>
      <x:c r="F5" s="4"/>
    </x:row>
    <x:row r="6" ht="42" customHeight="1">
      <x:c r="A6" s="64" t="str">
        <x:v>Eligible accounts</x:v>
      </x:c>
      <x:c r="B6" s="88" t="n">
        <x:f>B4*B5</x:f>
        <x:v>200000</x:v>
      </x:c>
      <x:c r="C6" s="64" t="str">
        <x:v>Derived</x:v>
      </x:c>
      <x:c r="D6" s="4"/>
      <x:c r="E6" s="4"/>
      <x:c r="F6" s="4"/>
    </x:row>
    <x:row r="7" ht="42" customHeight="1">
      <x:c r="A7" s="64" t="str">
        <x:v>Visit rate among eligible accounts</x:v>
      </x:c>
      <x:c r="B7" s="86" t="n">
        <x:v>0.02</x:v>
      </x:c>
      <x:c r="C7" s="64" t="str">
        <x:v>Test assumption</x:v>
      </x:c>
      <x:c r="D7" s="4"/>
      <x:c r="E7" s="4"/>
      <x:c r="F7" s="4"/>
    </x:row>
    <x:row r="8" ht="42" customHeight="1">
      <x:c r="A8" s="64" t="str">
        <x:v>Attributed visits</x:v>
      </x:c>
      <x:c r="B8" s="88" t="n">
        <x:f>B6*B7</x:f>
        <x:v>4000</x:v>
      </x:c>
      <x:c r="C8" s="64" t="str">
        <x:v>Deduplicate where lawful/possible</x:v>
      </x:c>
      <x:c r="D8" s="4"/>
      <x:c r="E8" s="4"/>
      <x:c r="F8" s="4"/>
    </x:row>
    <x:row r="9" ht="42" customHeight="1">
      <x:c r="A9" s="64" t="str">
        <x:v>Qualified free-lesson rate among visits</x:v>
      </x:c>
      <x:c r="B9" s="86" t="n">
        <x:v>0.5</x:v>
      </x:c>
      <x:c r="C9" s="64" t="str">
        <x:v>Meaningful lesson participation, not autoplay start</x:v>
      </x:c>
      <x:c r="D9" s="4"/>
      <x:c r="E9" s="4"/>
      <x:c r="F9" s="4"/>
    </x:row>
    <x:row r="10" ht="42" customHeight="1">
      <x:c r="A10" s="64" t="str">
        <x:v>Qualified free learners</x:v>
      </x:c>
      <x:c r="B10" s="88" t="n">
        <x:f>B8*B9</x:f>
        <x:v>2000</x:v>
      </x:c>
      <x:c r="C10" s="64" t="str">
        <x:v>Derived</x:v>
      </x:c>
      <x:c r="D10" s="4"/>
      <x:c r="E10" s="4"/>
      <x:c r="F10" s="4"/>
    </x:row>
    <x:row r="11" ht="42" customHeight="1">
      <x:c r="A11" s="64" t="str">
        <x:v>Paid-order rate among qualified learners</x:v>
      </x:c>
      <x:c r="B11" s="86" t="n">
        <x:v>0.05</x:v>
      </x:c>
      <x:c r="C11" s="64" t="str">
        <x:v>Test assumption; not an industry benchmark</x:v>
      </x:c>
      <x:c r="D11" s="4"/>
      <x:c r="E11" s="4"/>
      <x:c r="F11" s="4"/>
    </x:row>
    <x:row r="12" ht="42" customHeight="1">
      <x:c r="A12" s="64" t="str">
        <x:v>New paid DTC customers</x:v>
      </x:c>
      <x:c r="B12" s="88" t="n">
        <x:f>B10*B11</x:f>
        <x:v>100</x:v>
      </x:c>
      <x:c r="C12" s="64" t="str">
        <x:v>Derived</x:v>
      </x:c>
      <x:c r="D12" s="4"/>
      <x:c r="E12" s="4"/>
      <x:c r="F12" s="4"/>
    </x:row>
    <x:row r="13" ht="42" customHeight="1">
      <x:c r="A13" s="64" t="str">
        <x:v>Retained books per order</x:v>
      </x:c>
      <x:c r="B13" s="84" t="n">
        <x:v>1.5</x:v>
      </x:c>
      <x:c r="C13" s="64" t="str">
        <x:v>Planning assumption</x:v>
      </x:c>
      <x:c r="D13" s="4"/>
      <x:c r="E13" s="4"/>
      <x:c r="F13" s="4"/>
    </x:row>
    <x:row r="14" ht="42" customHeight="1">
      <x:c r="A14" s="64" t="str">
        <x:v>Retained DTC books</x:v>
      </x:c>
      <x:c r="B14" s="88" t="n">
        <x:f>B12*B13</x:f>
        <x:v>150</x:v>
      </x:c>
      <x:c r="C14" s="64" t="str">
        <x:v>Derived</x:v>
      </x:c>
      <x:c r="D14" s="4"/>
      <x:c r="E14" s="4"/>
      <x:c r="F14" s="4"/>
    </x:row>
    <x:row r="15" ht="23" customHeight="1">
      <x:c r="A15" s="4"/>
      <x:c r="B15" s="4"/>
      <x:c r="C15" s="4"/>
      <x:c r="D15" s="4"/>
      <x:c r="E15" s="4"/>
      <x:c r="F15" s="4"/>
    </x:row>
    <x:row r="16" ht="23" customHeight="1">
      <x:c r="A16" s="4"/>
      <x:c r="B16" s="4"/>
      <x:c r="C16" s="4"/>
      <x:c r="D16" s="4"/>
      <x:c r="E16" s="4"/>
      <x:c r="F16" s="4"/>
    </x:row>
    <x:row r="17" ht="23" customHeight="1">
      <x:c r="A17" s="4" t="str">
        <x:v>5,000-book base channel plan</x:v>
      </x:c>
      <x:c r="B17" s="4" t="str">
        <x:v>Books</x:v>
      </x:c>
      <x:c r="C17" s="4" t="str">
        <x:v>Order / outlet assumption</x:v>
      </x:c>
      <x:c r="D17" s="4" t="str">
        <x:v>Accounts required</x:v>
      </x:c>
      <x:c r="E17" s="4"/>
      <x:c r="F17" s="4"/>
    </x:row>
    <x:row r="18" ht="23" customHeight="1">
      <x:c r="A18" s="4" t="str">
        <x:v>DTC</x:v>
      </x:c>
      <x:c r="B18" s="4" t="n">
        <x:f>'Unit Economics'!F4*'Unit Economics'!F9</x:f>
        <x:v>2250</x:v>
      </x:c>
      <x:c r="C18" s="19" t="n">
        <x:v>1.5</x:v>
      </x:c>
      <x:c r="D18" s="4" t="n">
        <x:f>B18/C18</x:f>
        <x:v>1500</x:v>
      </x:c>
      <x:c r="E18" s="4"/>
      <x:c r="F18" s="4"/>
    </x:row>
    <x:row r="19" ht="23" customHeight="1">
      <x:c r="A19" s="4" t="str">
        <x:v>Institutional/bulk</x:v>
      </x:c>
      <x:c r="B19" s="4" t="n">
        <x:f>'Unit Economics'!F4*'Unit Economics'!F10</x:f>
        <x:v>1000</x:v>
      </x:c>
      <x:c r="C19" s="19" t="n">
        <x:v>50</x:v>
      </x:c>
      <x:c r="D19" s="4" t="n">
        <x:f>B19/C19</x:f>
        <x:v>20</x:v>
      </x:c>
      <x:c r="E19" s="4"/>
      <x:c r="F19" s="4"/>
    </x:row>
    <x:row r="20" ht="23" customHeight="1">
      <x:c r="A20" s="4" t="str">
        <x:v>Trade</x:v>
      </x:c>
      <x:c r="B20" s="4" t="n">
        <x:f>'Unit Economics'!F4*'Unit Economics'!F11</x:f>
        <x:v>1250</x:v>
      </x:c>
      <x:c r="C20" s="19" t="n">
        <x:v>50</x:v>
      </x:c>
      <x:c r="D20" s="4" t="n">
        <x:f>B20/C20</x:f>
        <x:v>25</x:v>
      </x:c>
      <x:c r="E20" s="4"/>
      <x:c r="F20" s="4"/>
    </x:row>
    <x:row r="21" ht="23" customHeight="1">
      <x:c r="A21" s="4" t="str">
        <x:v>Marketplace</x:v>
      </x:c>
      <x:c r="B21" s="4" t="n">
        <x:f>'Unit Economics'!F4*'Unit Economics'!F12</x:f>
        <x:v>500</x:v>
      </x:c>
      <x:c r="C21" s="19" t="n">
        <x:v>1</x:v>
      </x:c>
      <x:c r="D21" s="4" t="n">
        <x:f>B21/C21</x:f>
        <x:v>500</x:v>
      </x:c>
      <x:c r="E21" s="4"/>
      <x:c r="F21" s="4"/>
    </x:row>
    <x:row r="22" ht="23" customHeight="1">
      <x:c r="A22" s="4"/>
      <x:c r="B22" s="4"/>
      <x:c r="C22" s="4"/>
      <x:c r="D22" s="4"/>
      <x:c r="E22" s="4"/>
      <x:c r="F22" s="4"/>
    </x:row>
    <x:row r="23" ht="23" customHeight="1">
      <x:c r="A23" s="4"/>
      <x:c r="B23" s="4"/>
      <x:c r="C23" s="4"/>
      <x:c r="D23" s="4"/>
      <x:c r="E23" s="4"/>
      <x:c r="F23" s="4"/>
    </x:row>
    <x:row r="24" ht="23" customHeight="1">
      <x:c r="A24" s="4" t="str">
        <x:v>Qualified-to-order conversion</x:v>
      </x:c>
      <x:c r="B24" s="4" t="str">
        <x:v>3%</x:v>
      </x:c>
      <x:c r="C24" s="4" t="str">
        <x:v>5%</x:v>
      </x:c>
      <x:c r="D24" s="4" t="str">
        <x:v>8%</x:v>
      </x:c>
      <x:c r="E24" s="4"/>
      <x:c r="F24" s="4"/>
    </x:row>
    <x:row r="25" ht="23" customHeight="1">
      <x:c r="A25" s="4"/>
      <x:c r="B25" s="40" t="n">
        <x:v>0.03</x:v>
      </x:c>
      <x:c r="C25" s="40" t="n">
        <x:v>0.05</x:v>
      </x:c>
      <x:c r="D25" s="40" t="n">
        <x:v>0.08</x:v>
      </x:c>
      <x:c r="E25" s="4"/>
      <x:c r="F25" s="4"/>
    </x:row>
    <x:row r="26" ht="23" customHeight="1">
      <x:c r="A26" s="4" t="str">
        <x:v>Qualified learners needed for DTC plan</x:v>
      </x:c>
      <x:c r="B26" s="4" t="n">
        <x:f>$D$18/B25</x:f>
        <x:v>50000</x:v>
      </x:c>
      <x:c r="C26" s="4" t="n">
        <x:f>$D$18/C25</x:f>
        <x:v>30000</x:v>
      </x:c>
      <x:c r="D26" s="4" t="n">
        <x:f>$D$18/D25</x:f>
        <x:v>18750</x:v>
      </x:c>
      <x:c r="E26" s="4"/>
      <x:c r="F26" s="4"/>
    </x:row>
    <x:row r="27" ht="23" customHeight="1">
      <x:c r="A27" s="4"/>
      <x:c r="B27" s="4"/>
      <x:c r="C27" s="4"/>
      <x:c r="D27" s="4"/>
      <x:c r="E27" s="4"/>
      <x:c r="F27" s="4"/>
    </x:row>
    <x:row r="28" ht="23" customHeight="1">
      <x:c r="A28" s="4"/>
      <x:c r="B28" s="4"/>
      <x:c r="C28" s="4"/>
      <x:c r="D28" s="4"/>
      <x:c r="E28" s="4"/>
      <x:c r="F28" s="4"/>
    </x:row>
    <x:row r="29" ht="23" customHeight="1">
      <x:c r="A29" s="4" t="str">
        <x:v>DTC incremental CAC, base season</x:v>
      </x:c>
      <x:c r="B29" s="26" t="n">
        <x:f>'Scenario Inputs'!$C$13</x:f>
        <x:v>120</x:v>
      </x:c>
      <x:c r="C29" s="4"/>
      <x:c r="D29" s="4"/>
      <x:c r="E29" s="4"/>
      <x:c r="F29" s="4"/>
    </x:row>
    <x:row r="30" ht="23" customHeight="1">
      <x:c r="A30" s="4" t="str">
        <x:v>Fixed social/creative spend allocated to DTC</x:v>
      </x:c>
      <x:c r="B30" s="26" t="n">
        <x:f>'90-Day Budget'!C7</x:f>
        <x:v>100000</x:v>
      </x:c>
      <x:c r="C30" s="4"/>
      <x:c r="D30" s="4"/>
      <x:c r="E30" s="4"/>
      <x:c r="F30" s="4"/>
    </x:row>
    <x:row r="31" ht="23" customHeight="1">
      <x:c r="A31" s="4" t="str">
        <x:v>Fully loaded marketing CAC / DTC customer</x:v>
      </x:c>
      <x:c r="B31" s="26" t="n">
        <x:f>B29+B30/D18</x:f>
        <x:v>186.66666666666669</x:v>
      </x:c>
      <x:c r="C31" s="4"/>
      <x:c r="D31" s="4"/>
      <x:c r="E31" s="4"/>
      <x:c r="F31" s="4"/>
    </x:row>
    <x:row r="32" ht="23" customHeight="1">
      <x:c r="A32" s="4" t="str">
        <x:v>Note</x:v>
      </x:c>
      <x:c r="B32" s="64" t="str">
        <x:v>Do NOT deduct this fully loaded KPI again in profit: fixed creative spending is already expensed.</x:v>
      </x:c>
      <x:c r="C32" s="4"/>
      <x:c r="D32" s="4"/>
      <x:c r="E32" s="4"/>
      <x:c r="F32" s="4"/>
    </x:row>
    <x:row r="33" ht="23" customHeight="1">
      <x:c r="A33" s="4"/>
      <x:c r="B33" s="4"/>
      <x:c r="C33" s="4"/>
      <x:c r="D33" s="4"/>
      <x:c r="E33" s="4"/>
      <x:c r="F33" s="4"/>
    </x:row>
    <x:row r="34" ht="23" customHeight="1">
      <x:c r="A34" s="4"/>
      <x:c r="B34" s="4"/>
      <x:c r="C34" s="4"/>
      <x:c r="D34" s="4"/>
      <x:c r="E34" s="4"/>
      <x:c r="F34" s="4"/>
    </x:row>
  </x:sheetData>
  <x:mergeCells>
    <x:mergeCell ref="A1:F1"/>
    <x:mergeCell ref="B32:D33"/>
  </x:mergeCells>
  <x:pageMargins left="0.7" right="0.7" top="0.75" bottom="0.75" header="0.3" footer="0.3"/>
  <x:legacyDrawing xmlns:r="http://schemas.openxmlformats.org/officeDocument/2006/relationships" r:id="Rfadd2e2f2a9c49b9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23" hidden="0" customWidth="1"/>
    <x:col min="3" max="3" width="23" hidden="0" customWidth="1"/>
    <x:col min="4" max="4" width="23" hidden="0" customWidth="1"/>
    <x:col min="5" max="5" width="70" hidden="0" customWidth="1"/>
    <x:col min="6" max="6" width="5" hidden="0" customWidth="1"/>
  </x:cols>
  <x:sheetData>
    <x:row r="1" ht="38" customHeight="1">
      <x:c r="A1" s="8" t="str">
        <x:v>FIXED PROJECT / SEASON BUDGETS | INR; CASH STOCK &amp; VARIABLE SALES COSTS ARE SEPARATE</x:v>
      </x:c>
      <x:c r="B1" s="8"/>
      <x:c r="C1" s="8"/>
      <x:c r="D1" s="8"/>
      <x:c r="E1" s="8"/>
      <x:c r="F1" s="8"/>
    </x:row>
    <x:row r="2" ht="23" customHeight="1">
      <x:c r="A2" s="64"/>
      <x:c r="B2" s="4"/>
      <x:c r="C2" s="4"/>
      <x:c r="D2" s="4"/>
      <x:c r="E2" s="64"/>
      <x:c r="F2" s="4"/>
    </x:row>
    <x:row r="3" ht="40" customHeight="1">
      <x:c r="A3" s="14" t="str">
        <x:v>Category</x:v>
      </x:c>
      <x:c r="B3" s="14" t="str">
        <x:v>500-book pilot</x:v>
      </x:c>
      <x:c r="C3" s="14" t="str">
        <x:v>5,000-book season</x:v>
      </x:c>
      <x:c r="D3" s="14" t="str">
        <x:v>50,000-book season</x:v>
      </x:c>
      <x:c r="E3" s="14" t="str">
        <x:v>Scope / assumption</x:v>
      </x:c>
      <x:c r="F3" s="14"/>
    </x:row>
    <x:row r="4" ht="62" customHeight="1">
      <x:c r="A4" s="64" t="str">
        <x:v>Manuscripts + independent academic review</x:v>
      </x:c>
      <x:c r="B4" s="30" t="n">
        <x:v>160000</x:v>
      </x:c>
      <x:c r="C4" s="30" t="n">
        <x:v>250000</x:v>
      </x:c>
      <x:c r="D4" s="30" t="n">
        <x:v>600000</x:v>
      </x:c>
      <x:c r="E4" s="64" t="str">
        <x:v>Contract authoring and subject review; source rights required.</x:v>
      </x:c>
      <x:c r="F4" s="4"/>
    </x:row>
    <x:row r="5" ht="62" customHeight="1">
      <x:c r="A5" s="64" t="str">
        <x:v>Editing, pagination, cover and print proofs</x:v>
      </x:c>
      <x:c r="B5" s="30" t="n">
        <x:v>60000</x:v>
      </x:c>
      <x:c r="C5" s="30" t="n">
        <x:v>100000</x:v>
      </x:c>
      <x:c r="D5" s="30" t="n">
        <x:v>250000</x:v>
      </x:c>
      <x:c r="E5" s="64" t="str">
        <x:v>Do not replace quality checks with generated layouts.</x:v>
      </x:c>
      <x:c r="F5" s="4"/>
    </x:row>
    <x:row r="6" ht="62" customHeight="1">
      <x:c r="A6" s="64" t="str">
        <x:v>Reviewed chapter videos</x:v>
      </x:c>
      <x:c r="B6" s="30" t="n">
        <x:v>120000</x:v>
      </x:c>
      <x:c r="C6" s="30" t="n">
        <x:v>200000</x:v>
      </x:c>
      <x:c r="D6" s="30" t="n">
        <x:v>450000</x:v>
      </x:c>
      <x:c r="E6" s="64" t="str">
        <x:v>Pilot: 40 x INR 3,000, including allocated human review and machine costs; reusable 2D templates.</x:v>
      </x:c>
      <x:c r="F6" s="4"/>
    </x:row>
    <x:row r="7" ht="62" customHeight="1">
      <x:c r="A7" s="64" t="str">
        <x:v>Reels, free-content packaging, community</x:v>
      </x:c>
      <x:c r="B7" s="30" t="n">
        <x:v>50000</x:v>
      </x:c>
      <x:c r="C7" s="30" t="n">
        <x:v>100000</x:v>
      </x:c>
      <x:c r="D7" s="30" t="n">
        <x:v>350000</x:v>
      </x:c>
      <x:c r="E7" s="64" t="str">
        <x:v>Fixed organic acquisition cost; excluded from incremental CAC but included in profit.</x:v>
      </x:c>
      <x:c r="F7" s="4"/>
    </x:row>
    <x:row r="8" ht="62" customHeight="1">
      <x:c r="A8" s="64" t="str">
        <x:v>Commerce / activation development</x:v>
      </x:c>
      <x:c r="B8" s="30" t="n">
        <x:v>60000</x:v>
      </x:c>
      <x:c r="C8" s="30" t="n">
        <x:v>100000</x:v>
      </x:c>
      <x:c r="D8" s="30" t="n">
        <x:v>250000</x:v>
      </x:c>
      <x:c r="E8" s="64" t="str">
        <x:v>Lean existing-commerce stack; no custom native app.</x:v>
      </x:c>
      <x:c r="F8" s="4"/>
    </x:row>
    <x:row r="9" ht="62" customHeight="1">
      <x:c r="A9" s="64" t="str">
        <x:v>Fixed hosting, tools, storage</x:v>
      </x:c>
      <x:c r="B9" s="30" t="n">
        <x:v>15000</x:v>
      </x:c>
      <x:c r="C9" s="30" t="n">
        <x:v>40000</x:v>
      </x:c>
      <x:c r="D9" s="30" t="n">
        <x:v>120000</x:v>
      </x:c>
      <x:c r="E9" s="64" t="str">
        <x:v>Video delivery is separately reserved per activated book.</x:v>
      </x:c>
      <x:c r="F9" s="4"/>
    </x:row>
    <x:row r="10" ht="62" customHeight="1">
      <x:c r="A10" s="64" t="str">
        <x:v>Allocated founder / operational staff time</x:v>
      </x:c>
      <x:c r="B10" s="30" t="n">
        <x:v>115000</x:v>
      </x:c>
      <x:c r="C10" s="30" t="n">
        <x:v>260000</x:v>
      </x:c>
      <x:c r="D10" s="30" t="n">
        <x:v>1450000</x:v>
      </x:c>
      <x:c r="E10" s="64" t="str">
        <x:v>Allocated project/season workload, not a promise of unlimited full-time staffing.</x:v>
      </x:c>
      <x:c r="F10" s="4"/>
    </x:row>
    <x:row r="11" ht="62" customHeight="1">
      <x:c r="A11" s="64" t="str">
        <x:v>Legal, tax, accounts and rights administration</x:v>
      </x:c>
      <x:c r="B11" s="30" t="n">
        <x:v>25000</x:v>
      </x:c>
      <x:c r="C11" s="30" t="n">
        <x:v>50000</x:v>
      </x:c>
      <x:c r="D11" s="30" t="n">
        <x:v>130000</x:v>
      </x:c>
      <x:c r="E11" s="64" t="str">
        <x:v>GST classification and minors/privacy review are launch gates.</x:v>
      </x:c>
      <x:c r="F11" s="4"/>
    </x:row>
    <x:row r="12" ht="62" customHeight="1">
      <x:c r="A12" s="64" t="str">
        <x:v>Partner launch visits, specimens, travel</x:v>
      </x:c>
      <x:c r="B12" s="30" t="n">
        <x:v>30000</x:v>
      </x:c>
      <x:c r="C12" s="30" t="n">
        <x:v>70000</x:v>
      </x:c>
      <x:c r="D12" s="30" t="n">
        <x:v>300000</x:v>
      </x:c>
      <x:c r="E12" s="64" t="str">
        <x:v>Fixed launch work; per-sale field servicing also separately modeled.</x:v>
      </x:c>
      <x:c r="F12" s="4"/>
    </x:row>
    <x:row r="13" ht="62" customHeight="1">
      <x:c r="A13" s="64" t="str">
        <x:v>QA and project contingency</x:v>
      </x:c>
      <x:c r="B13" s="30" t="n">
        <x:v>15000</x:v>
      </x:c>
      <x:c r="C13" s="30" t="n">
        <x:v>30000</x:v>
      </x:c>
      <x:c r="D13" s="30" t="n">
        <x:v>100000</x:v>
      </x:c>
      <x:c r="E13" s="64" t="str">
        <x:v>Expected spending allowance; funding headroom is additional liquidity, not P&amp;L expense.</x:v>
      </x:c>
      <x:c r="F13" s="4"/>
    </x:row>
    <x:row r="14" ht="62" customHeight="1">
      <x:c r="A14" s="64" t="str">
        <x:v>Total fixed budget</x:v>
      </x:c>
      <x:c r="B14" s="28" t="n">
        <x:f>SUM(B4:B13)</x:f>
        <x:v>650000</x:v>
      </x:c>
      <x:c r="C14" s="28" t="n">
        <x:f>SUM(C4:C13)</x:f>
        <x:v>1200000</x:v>
      </x:c>
      <x:c r="D14" s="28" t="n">
        <x:f>SUM(D4:D13)</x:f>
        <x:v>4000000</x:v>
      </x:c>
      <x:c r="E14" s="64"/>
      <x:c r="F14" s="4"/>
    </x:row>
    <x:row r="15" ht="62" customHeight="1">
      <x:c r="A15" s="64"/>
      <x:c r="B15" s="4"/>
      <x:c r="C15" s="4"/>
      <x:c r="D15" s="4"/>
      <x:c r="E15" s="64"/>
      <x:c r="F15" s="4"/>
    </x:row>
    <x:row r="16" ht="62" customHeight="1">
      <x:c r="A16" s="64"/>
      <x:c r="B16" s="4"/>
      <x:c r="C16" s="4"/>
      <x:c r="D16" s="4"/>
      <x:c r="E16" s="64"/>
      <x:c r="F16" s="4"/>
    </x:row>
    <x:row r="17" ht="62" customHeight="1">
      <x:c r="A17" s="82" t="str">
        <x:v>90-day release discipline: authorize INR 60,000 for discovery/prototypes first. Release the remaining pilot budget only after medium/subject demand, academic quality, tax treatment and a fulfillment proof are validated. Suggested available capital ceiling: INR 8 lakh; not a mandate to spend it all.</x:v>
      </x:c>
      <x:c r="B17" s="82"/>
      <x:c r="C17" s="82"/>
      <x:c r="D17" s="82"/>
      <x:c r="E17" s="82"/>
      <x:c r="F17" s="4"/>
    </x:row>
    <x:row r="18" ht="62" customHeight="1">
      <x:c r="A18" s="82"/>
      <x:c r="B18" s="82"/>
      <x:c r="C18" s="82"/>
      <x:c r="D18" s="82"/>
      <x:c r="E18" s="82"/>
      <x:c r="F18" s="4"/>
    </x:row>
    <x:row r="19" ht="62" customHeight="1">
      <x:c r="A19" s="82"/>
      <x:c r="B19" s="82"/>
      <x:c r="C19" s="82"/>
      <x:c r="D19" s="82"/>
      <x:c r="E19" s="82"/>
      <x:c r="F19" s="4"/>
    </x:row>
    <x:row r="20" ht="62" customHeight="1">
      <x:c r="A20" s="64"/>
      <x:c r="B20" s="4"/>
      <x:c r="C20" s="4"/>
      <x:c r="D20" s="4"/>
      <x:c r="E20" s="64"/>
      <x:c r="F20" s="4"/>
    </x:row>
  </x:sheetData>
  <x:mergeCells>
    <x:mergeCell ref="A1:F1"/>
    <x:mergeCell ref="A17:E19"/>
  </x:mergeCells>
  <x:pageMargins left="0.7" right="0.7" top="0.75" bottom="0.75" header="0.3" footer="0.3"/>
  <x:legacyDrawing xmlns:r="http://schemas.openxmlformats.org/officeDocument/2006/relationships" r:id="R7accf25718b94747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27" hidden="0" customWidth="1"/>
    <x:col min="4" max="4" width="66" hidden="0" customWidth="1"/>
    <x:col min="5" max="5" width="49" hidden="0" customWidth="1"/>
    <x:col min="6" max="6" width="52" hidden="0" customWidth="1"/>
  </x:cols>
  <x:sheetData>
    <x:row r="1" ht="38" customHeight="1">
      <x:c r="A1" s="8" t="str">
        <x:v>90-DAY LAUNCH | SEQUENCED GATES, NOT A MANDATE TO LAUNCH SIX TITLES</x:v>
      </x:c>
      <x:c r="B1" s="8"/>
      <x:c r="C1" s="8"/>
      <x:c r="D1" s="8"/>
      <x:c r="E1" s="8"/>
      <x:c r="F1" s="8"/>
    </x:row>
    <x:row r="2" ht="23" customHeight="1">
      <x:c r="A2" s="4"/>
      <x:c r="B2" s="4"/>
      <x:c r="C2" s="64"/>
      <x:c r="D2" s="64"/>
      <x:c r="E2" s="64"/>
      <x:c r="F2" s="64"/>
    </x:row>
    <x:row r="3" ht="40" customHeight="1">
      <x:c r="A3" s="14" t="str">
        <x:v>Week</x:v>
      </x:c>
      <x:c r="B3" s="14" t="str">
        <x:v>Days</x:v>
      </x:c>
      <x:c r="C3" s="14" t="str">
        <x:v>Owner</x:v>
      </x:c>
      <x:c r="D3" s="14" t="str">
        <x:v>Work</x:v>
      </x:c>
      <x:c r="E3" s="14" t="str">
        <x:v>Deliverable</x:v>
      </x:c>
      <x:c r="F3" s="14" t="str">
        <x:v>Gate / stop rule</x:v>
      </x:c>
    </x:row>
    <x:row r="4" ht="118" customHeight="1">
      <x:c r="A4" s="4" t="str">
        <x:v>1</x:v>
      </x:c>
      <x:c r="B4" s="4" t="str">
        <x:v>1–7</x:v>
      </x:c>
      <x:c r="C4" s="64" t="str">
        <x:v>Founder + academic lead</x:v>
      </x:c>
      <x:c r="D4" s="64" t="str">
        <x:v>Interview 15 students, 5 parents, 5 teachers and 4 shops. Collect actual competing books. Confirm medium and board/year.</x:v>
      </x:c>
      <x:c r="E4" s="64" t="str">
        <x:v>Interview notes; competitor shelf sheet; source/rights register.</x:v>
      </x:c>
      <x:c r="F4" s="64" t="str">
        <x:v>No claim that an Instagram poll proves demand.</x:v>
      </x:c>
    </x:row>
    <x:row r="5" ht="118" customHeight="1">
      <x:c r="A5" s="4" t="str">
        <x:v>2</x:v>
      </x:c>
      <x:c r="B5" s="4" t="str">
        <x:v>8–14</x:v>
      </x:c>
      <x:c r="C5" s="64" t="str">
        <x:v>Academic lead + founder</x:v>
      </x:c>
      <x:c r="D5" s="64" t="str">
        <x:v>Complete remaining interviews; test two free chapter prototypes, price cards and real book pages; obtain 3 like-for-like print quotes.</x:v>
      </x:c>
      <x:c r="E5" s="64" t="str">
        <x:v>Two approved prototypes; costed specification; tax/privacy review started.</x:v>
      </x:c>
      <x:c r="F5" s="64" t="str">
        <x:v>Discovery/prototype spending cap INR 60,000 until gate passed.</x:v>
      </x:c>
    </x:row>
    <x:row r="6" ht="118" customHeight="1">
      <x:c r="A6" s="4" t="str">
        <x:v>3</x:v>
      </x:c>
      <x:c r="B6" s="4" t="str">
        <x:v>15–21</x:v>
      </x:c>
      <x:c r="C6" s="64" t="str">
        <x:v>Academic editors</x:v>
      </x:c>
      <x:c r="D6" s="64" t="str">
        <x:v>Lock two Class 10 titles and one medium. Define 8-paper pagination and all printed solutions. Design first 3 free chapters by diagnostic value.</x:v>
      </x:c>
      <x:c r="E6" s="64" t="str">
        <x:v>Signed syllabus map and manuscript plan; no unreviewed 'official' claims.</x:v>
      </x:c>
      <x:c r="F6" s="64" t="str">
        <x:v>Stop a title that cannot be accurately completed before promised delivery.</x:v>
      </x:c>
    </x:row>
    <x:row r="7" ht="118" customHeight="1">
      <x:c r="A7" s="4" t="str">
        <x:v>4</x:v>
      </x:c>
      <x:c r="B7" s="4" t="str">
        <x:v>22–28</x:v>
      </x:c>
      <x:c r="C7" s="64" t="str">
        <x:v>Video + design team</x:v>
      </x:c>
      <x:c r="D7" s="64" t="str">
        <x:v>Build reusable diagrams and vertical Reel templates; publish 4–5 Class 10 Reels and free lesson 1 per title.</x:v>
      </x:c>
      <x:c r="E7" s="64" t="str">
        <x:v>Track qualified visits and question attempts, not only plays.</x:v>
      </x:c>
      <x:c r="F7" s="64" t="str">
        <x:v>No paid reach boost merely because a Reel gets views.</x:v>
      </x:c>
    </x:row>
    <x:row r="8" ht="118" customHeight="1">
      <x:c r="A8" s="4" t="str">
        <x:v>5</x:v>
      </x:c>
      <x:c r="B8" s="4" t="str">
        <x:v>29–35</x:v>
      </x:c>
      <x:c r="C8" s="64" t="str">
        <x:v>Editors + developers</x:v>
      </x:c>
      <x:c r="D8" s="64" t="str">
        <x:v>Continue manuscripts/videos; implement checkout, entitlement database, refund/coupon rules and guardian flow.</x:v>
      </x:c>
      <x:c r="E8" s="64" t="str">
        <x:v>Test payment webhook and free viewing without forced registration.</x:v>
      </x:c>
      <x:c r="F8" s="64" t="str">
        <x:v>No third-party behavioural pixels on student learning pages.</x:v>
      </x:c>
    </x:row>
    <x:row r="9" ht="118" customHeight="1">
      <x:c r="A9" s="4" t="str">
        <x:v>6</x:v>
      </x:c>
      <x:c r="B9" s="4" t="str">
        <x:v>36–42</x:v>
      </x:c>
      <x:c r="C9" s="64" t="str">
        <x:v>QA + partnerships</x:v>
      </x:c>
      <x:c r="D9" s="64" t="str">
        <x:v>Finish six free lessons; test on low-cost phones; prepare teacher specimen and short book walkthrough. Recruit permissioned partners.</x:v>
      </x:c>
      <x:c r="E9" s="64" t="str">
        <x:v>Academic review; low-data/mobile test; partner terms.</x:v>
      </x:c>
      <x:c r="F9" s="64" t="str">
        <x:v>No covert teacher commission or compulsory pupil purchase.</x:v>
      </x:c>
    </x:row>
    <x:row r="10" ht="118" customHeight="1">
      <x:c r="A10" s="4" t="str">
        <x:v>7</x:v>
      </x:c>
      <x:c r="B10" s="4" t="str">
        <x:v>43–49</x:v>
      </x:c>
      <x:c r="C10" s="64" t="str">
        <x:v>Publisher + finance</x:v>
      </x:c>
      <x:c r="D10" s="64" t="str">
        <x:v>Blind-review representative papers and all prototype solutions; compare printer proofs; approve tax/invoicing/access terms.</x:v>
      </x:c>
      <x:c r="E10" s="64" t="str">
        <x:v>Print-ready proof and approved unit economics.</x:v>
      </x:c>
      <x:c r="F10" s="64" t="str">
        <x:v>Accept transparent preorders only against a credible dispatch date.</x:v>
      </x:c>
    </x:row>
    <x:row r="11" ht="118" customHeight="1">
      <x:c r="A11" s="4" t="str">
        <x:v>8</x:v>
      </x:c>
      <x:c r="B11" s="4" t="str">
        <x:v>50–56</x:v>
      </x:c>
      <x:c r="C11" s="64" t="str">
        <x:v>Editorial + video lead</x:v>
      </x:c>
      <x:c r="D11" s="64" t="str">
        <x:v>Complete the paid catalogue promised for launch and the first two print masters; test scratch-code sequence and two-device recovery.</x:v>
      </x:c>
      <x:c r="E11" s="64" t="str">
        <x:v>Release candidate books/videos; duplicate-redemption and refund tests.</x:v>
      </x:c>
      <x:c r="F11" s="64" t="str">
        <x:v>Do not sell all-chapter access while undisclosed major chapters are missing.</x:v>
      </x:c>
    </x:row>
    <x:row r="12" ht="118" customHeight="1">
      <x:c r="A12" s="4" t="str">
        <x:v>9</x:v>
      </x:c>
      <x:c r="B12" s="4" t="str">
        <x:v>57–63</x:v>
      </x:c>
      <x:c r="C12" s="64" t="str">
        <x:v>Founder + fulfillment</x:v>
      </x:c>
      <x:c r="D12" s="64" t="str">
        <x:v>Authorize only the first short batch against paid demand/partner commitments. Test dispatch to urban and rural pincodes.</x:v>
      </x:c>
      <x:c r="E12" s="64" t="str">
        <x:v>Real courier-weight data; delivery tracking; receipt/activation checklist.</x:v>
      </x:c>
      <x:c r="F12" s="64" t="str">
        <x:v>Check actual per-SKU print price and latest viable dispatch date.</x:v>
      </x:c>
    </x:row>
    <x:row r="13" ht="118" customHeight="1">
      <x:c r="A13" s="4" t="str">
        <x:v>10</x:v>
      </x:c>
      <x:c r="B13" s="4" t="str">
        <x:v>64–70</x:v>
      </x:c>
      <x:c r="C13" s="64" t="str">
        <x:v>Support + academic lead</x:v>
      </x:c>
      <x:c r="D13" s="64" t="str">
        <x:v>Fulfill pilot buyers; repair activation friction; collect voluntary learning feedback; seed 10–20 outlets with capped stock.</x:v>
      </x:c>
      <x:c r="E13" s="64" t="str">
        <x:v>Delivered orders; first-week practice/activation reports.</x:v>
      </x:c>
      <x:c r="F13" s="64" t="str">
        <x:v>No further ad scale while refund or academic issues remain.</x:v>
      </x:c>
    </x:row>
    <x:row r="14" ht="118" customHeight="1">
      <x:c r="A14" s="4" t="str">
        <x:v>11</x:v>
      </x:c>
      <x:c r="B14" s="4" t="str">
        <x:v>71–77</x:v>
      </x:c>
      <x:c r="C14" s="64" t="str">
        <x:v>Growth + partnerships</x:v>
      </x:c>
      <x:c r="D14" s="64" t="str">
        <x:v>Promote best-converting Reel families; launch disclosed referral pilot; compare digital-only vs bundle paths.</x:v>
      </x:c>
      <x:c r="E14" s="64" t="str">
        <x:v>Contribution by cohort/channel; 3/7-day support and refund metrics.</x:v>
      </x:c>
      <x:c r="F14" s="64" t="str">
        <x:v>One reward/commission path per sale; no incentive stacking.</x:v>
      </x:c>
    </x:row>
    <x:row r="15" ht="118" customHeight="1">
      <x:c r="A15" s="4" t="str">
        <x:v>12</x:v>
      </x:c>
      <x:c r="B15" s="4" t="str">
        <x:v>78–84</x:v>
      </x:c>
      <x:c r="C15" s="64" t="str">
        <x:v>Finance + operations</x:v>
      </x:c>
      <x:c r="D15" s="64" t="str">
        <x:v>Reconcile all channels and printer stock; test second order/subject bundle; set reprint by demand and lead time.</x:v>
      </x:c>
      <x:c r="E15" s="64" t="str">
        <x:v>Actual CAC, sell-through, margin, cash and partner receivables.</x:v>
      </x:c>
      <x:c r="F15" s="64" t="str">
        <x:v>Do not print ahead merely to obtain a cheaper unit quote.</x:v>
      </x:c>
    </x:row>
    <x:row r="16" ht="118" customHeight="1">
      <x:c r="A16" s="4" t="str">
        <x:v>13</x:v>
      </x:c>
      <x:c r="B16" s="4" t="str">
        <x:v>85–90</x:v>
      </x:c>
      <x:c r="C16" s="64" t="str">
        <x:v>Founder + review board</x:v>
      </x:c>
      <x:c r="D16" s="64" t="str">
        <x:v>Review academic outcomes and financial gate. Continue, revise price/offer or stop. Class 12 expansion only after title-level approval.</x:v>
      </x:c>
      <x:c r="E16" s="64" t="str">
        <x:v>Next-season plan; corrections log; source and customer-data audits.</x:v>
      </x:c>
      <x:c r="F16" s="64" t="str">
        <x:v>Expansion requires positive contribution, dependable delivery and evidence of learning.</x:v>
      </x:c>
    </x:row>
    <x:row r="17" ht="118" customHeight="1">
      <x:c r="A17" s="4"/>
      <x:c r="B17" s="4"/>
      <x:c r="C17" s="64"/>
      <x:c r="D17" s="64"/>
      <x:c r="E17" s="64"/>
      <x:c r="F17" s="64"/>
    </x:row>
    <x:row r="18" ht="118" customHeight="1">
      <x:c r="A18" s="4"/>
      <x:c r="B18" s="4"/>
      <x:c r="C18" s="64"/>
      <x:c r="D18" s="64"/>
      <x:c r="E18" s="64"/>
      <x:c r="F18" s="64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27" hidden="0" customWidth="1"/>
    <x:col min="5" max="5" width="43" hidden="0" customWidth="1"/>
    <x:col min="6" max="6" width="52" hidden="0" customWidth="1"/>
    <x:col min="7" max="7" width="43" hidden="0" customWidth="1"/>
    <x:col min="8" max="8" width="41" hidden="0" customWidth="1"/>
    <x:col min="9" max="9" width="18" hidden="0" customWidth="1"/>
    <x:col min="10" max="10" width="14" hidden="0" customWidth="1"/>
    <x:col min="11" max="11" width="52" hidden="0" customWidth="1"/>
    <x:col min="12" max="12" width="13" hidden="0" customWidth="1"/>
    <x:col min="13" max="13" width="19" hidden="0" customWidth="1"/>
  </x:cols>
  <x:sheetData>
    <x:row r="1" ht="38" customHeight="1">
      <x:c r="A1" s="8" t="str">
        <x:v>36 REEL CONCEPTS | ORIGINAL DRAFTS, NOT CLAIMS OF GUARANTEED VIRALITY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3" customHeight="1">
      <x:c r="A2" s="4"/>
      <x:c r="B2" s="64"/>
      <x:c r="C2" s="64"/>
      <x:c r="D2" s="64"/>
      <x:c r="E2" s="64"/>
      <x:c r="F2" s="64"/>
      <x:c r="G2" s="64"/>
      <x:c r="H2" s="64"/>
      <x:c r="I2" s="64"/>
      <x:c r="J2" s="4"/>
      <x:c r="K2" s="64"/>
      <x:c r="L2" s="4"/>
      <x:c r="M2" s="4"/>
    </x:row>
    <x:row r="3" ht="40" customHeight="1">
      <x:c r="A3" s="14" t="str">
        <x:v>ID</x:v>
      </x:c>
      <x:c r="B3" s="14" t="str">
        <x:v>Audience</x:v>
      </x:c>
      <x:c r="C3" s="14" t="str">
        <x:v>Strand</x:v>
      </x:c>
      <x:c r="D3" s="14" t="str">
        <x:v>Topic</x:v>
      </x:c>
      <x:c r="E3" s="14" t="str">
        <x:v>Opening hook / cover</x:v>
      </x:c>
      <x:c r="F3" s="14" t="str">
        <x:v>Visual treatment</x:v>
      </x:c>
      <x:c r="G3" s="14" t="str">
        <x:v>Caption first line</x:v>
      </x:c>
      <x:c r="H3" s="14" t="str">
        <x:v>Single CTA</x:v>
      </x:c>
      <x:c r="I3" s="14" t="str">
        <x:v>Funnel objective</x:v>
      </x:c>
      <x:c r="J3" s="14" t="str">
        <x:v>Target duration sec</x:v>
      </x:c>
      <x:c r="K3" s="14" t="str">
        <x:v>Scientific/editorial check</x:v>
      </x:c>
      <x:c r="L3" s="14" t="str">
        <x:v>Launch priority</x:v>
      </x:c>
      <x:c r="M3" s="14" t="str">
        <x:v>Status</x:v>
      </x:c>
    </x:row>
    <x:row r="4" ht="110" customHeight="1">
      <x:c r="A4" s="4" t="n">
        <x:v>1</x:v>
      </x:c>
      <x:c r="B4" s="64" t="str">
        <x:v>Class 10</x:v>
      </x:c>
      <x:c r="C4" s="64" t="str">
        <x:v>Physics</x:v>
      </x:c>
      <x:c r="D4" s="64" t="str">
        <x:v>Ohm's law conditions</x:v>
      </x:c>
      <x:c r="E4" s="64" t="str">
        <x:v>Does twice the voltage ALWAYS mean twice the current?</x:v>
      </x:c>
      <x:c r="F4" s="64" t="str">
        <x:v>Same resistor, two voltages, then reveal the constant-condition label.</x:v>
      </x:c>
      <x:c r="G4" s="64" t="str">
        <x:v>Check the condition before using the shortcut.</x:v>
      </x:c>
      <x:c r="H4" s="64" t="str">
        <x:v>Watch the free Electricity lesson.</x:v>
      </x:c>
      <x:c r="I4" s="64" t="str">
        <x:v>Free lesson</x:v>
      </x:c>
      <x:c r="J4" s="4" t="n">
        <x:v>35</x:v>
      </x:c>
      <x:c r="K4" s="64" t="str">
        <x:v>State model conditions; do not imply every device is ohmic.</x:v>
      </x:c>
      <x:c r="L4" s="4" t="str">
        <x:v>P0</x:v>
      </x:c>
      <x:c r="M4" s="4" t="str">
        <x:v>Draft</x:v>
      </x:c>
    </x:row>
    <x:row r="5" ht="110" customHeight="1">
      <x:c r="A5" s="4" t="n">
        <x:v>2</x:v>
      </x:c>
      <x:c r="B5" s="64" t="str">
        <x:v>Class 10</x:v>
      </x:c>
      <x:c r="C5" s="64" t="str">
        <x:v>Physics</x:v>
      </x:c>
      <x:c r="D5" s="64" t="str">
        <x:v>I-V graph interpretation</x:v>
      </x:c>
      <x:c r="E5" s="64" t="str">
        <x:v>Which line has the larger resistance? Check the axes.</x:v>
      </x:c>
      <x:c r="F5" s="64" t="str">
        <x:v>Two labelled I-versus-V lines; compare current at the same voltage.</x:v>
      </x:c>
      <x:c r="G5" s="64" t="str">
        <x:v>The axes decide what this slope means.</x:v>
      </x:c>
      <x:c r="H5" s="64" t="str">
        <x:v>Try the three-question graph check.</x:v>
      </x:c>
      <x:c r="I5" s="64" t="str">
        <x:v>Practice</x:v>
      </x:c>
      <x:c r="J5" s="4" t="n">
        <x:v>30</x:v>
      </x:c>
      <x:c r="K5" s="64" t="str">
        <x:v>Keep I vertical and V horizontal throughout.</x:v>
      </x:c>
      <x:c r="L5" s="4" t="str">
        <x:v>P0</x:v>
      </x:c>
      <x:c r="M5" s="4" t="str">
        <x:v>Draft</x:v>
      </x:c>
    </x:row>
    <x:row r="6" ht="110" customHeight="1">
      <x:c r="A6" s="4" t="n">
        <x:v>3</x:v>
      </x:c>
      <x:c r="B6" s="64" t="str">
        <x:v>Class 10</x:v>
      </x:c>
      <x:c r="C6" s="64" t="str">
        <x:v>Physics</x:v>
      </x:c>
      <x:c r="D6" s="64" t="str">
        <x:v>Circuit power comparison</x:v>
      </x:c>
      <x:c r="E6" s="64" t="str">
        <x:v>Same resistors. Same supply. Which circuit uses more power?</x:v>
      </x:c>
      <x:c r="F6" s="64" t="str">
        <x:v>Matched series/parallel circuit diagrams; predict before calculation.</x:v>
      </x:c>
      <x:c r="G6" s="64" t="str">
        <x:v>Identify what stays fixed before comparing circuits.</x:v>
      </x:c>
      <x:c r="H6" s="64" t="str">
        <x:v>Open the worked comparison in the free lesson.</x:v>
      </x:c>
      <x:c r="I6" s="64" t="str">
        <x:v>Free lesson</x:v>
      </x:c>
      <x:c r="J6" s="4" t="n">
        <x:v>45</x:v>
      </x:c>
      <x:c r="K6" s="64" t="str">
        <x:v>Identical resistors and fixed voltage; avoid unsafe mains demo.</x:v>
      </x:c>
      <x:c r="L6" s="4" t="str">
        <x:v>P0</x:v>
      </x:c>
      <x:c r="M6" s="4" t="str">
        <x:v>Draft</x:v>
      </x:c>
    </x:row>
    <x:row r="7" ht="110" customHeight="1">
      <x:c r="A7" s="4" t="n">
        <x:v>4</x:v>
      </x:c>
      <x:c r="B7" s="64" t="str">
        <x:v>Class 10</x:v>
      </x:c>
      <x:c r="C7" s="64" t="str">
        <x:v>Physics</x:v>
      </x:c>
      <x:c r="D7" s="64" t="str">
        <x:v>Mirror image prediction</x:v>
      </x:c>
      <x:c r="E7" s="64" t="str">
        <x:v>Move the object—where will its image move?</x:v>
      </x:c>
      <x:c r="F7" s="64" t="str">
        <x:v>Converging mirror ray diagram with a labelled object interval.</x:v>
      </x:c>
      <x:c r="G7" s="64" t="str">
        <x:v>Predict first, then follow the rays.</x:v>
      </x:c>
      <x:c r="H7" s="64" t="str">
        <x:v>Try the next ray-diagram question.</x:v>
      </x:c>
      <x:c r="I7" s="64" t="str">
        <x:v>Practice</x:v>
      </x:c>
      <x:c r="J7" s="4" t="n">
        <x:v>40</x:v>
      </x:c>
      <x:c r="K7" s="64" t="str">
        <x:v>Use a valid object position and correct principal rays.</x:v>
      </x:c>
      <x:c r="L7" s="4" t="str">
        <x:v>P0</x:v>
      </x:c>
      <x:c r="M7" s="4" t="str">
        <x:v>Draft</x:v>
      </x:c>
    </x:row>
    <x:row r="8" ht="110" customHeight="1">
      <x:c r="A8" s="4" t="n">
        <x:v>5</x:v>
      </x:c>
      <x:c r="B8" s="64" t="str">
        <x:v>Class 10</x:v>
      </x:c>
      <x:c r="C8" s="64" t="str">
        <x:v>Physics</x:v>
      </x:c>
      <x:c r="D8" s="64" t="str">
        <x:v>Lens sign convention</x:v>
      </x:c>
      <x:c r="E8" s="64" t="str">
        <x:v>The arithmetic is right. Why is the answer still wrong?</x:v>
      </x:c>
      <x:c r="F8" s="64" t="str">
        <x:v>Reveal a single incorrect sign in an otherwise worked solution.</x:v>
      </x:c>
      <x:c r="G8" s="64" t="str">
        <x:v>A sign check can repair the whole solution.</x:v>
      </x:c>
      <x:c r="H8" s="64" t="str">
        <x:v>Get the sign-convention checklist.</x:v>
      </x:c>
      <x:c r="I8" s="64" t="str">
        <x:v>Worksheet</x:v>
      </x:c>
      <x:c r="J8" s="4" t="n">
        <x:v>35</x:v>
      </x:c>
      <x:c r="K8" s="64" t="str">
        <x:v>Name the adopted convention explicitly.</x:v>
      </x:c>
      <x:c r="L8" s="4" t="str">
        <x:v>P0</x:v>
      </x:c>
      <x:c r="M8" s="4" t="str">
        <x:v>Draft</x:v>
      </x:c>
    </x:row>
    <x:row r="9" ht="110" customHeight="1">
      <x:c r="A9" s="4" t="n">
        <x:v>6</x:v>
      </x:c>
      <x:c r="B9" s="64" t="str">
        <x:v>Class 12</x:v>
      </x:c>
      <x:c r="C9" s="64" t="str">
        <x:v>Physics</x:v>
      </x:c>
      <x:c r="D9" s="64" t="str">
        <x:v>Gauss law</x:v>
      </x:c>
      <x:c r="E9" s="64" t="str">
        <x:v>Zero flux: does that mean zero field?</x:v>
      </x:c>
      <x:c r="F9" s="64" t="str">
        <x:v>Closed surface with uniform through-field and balanced flux contributions.</x:v>
      </x:c>
      <x:c r="G9" s="64" t="str">
        <x:v>A statement about a surface is not automatically a statement about every point.</x:v>
      </x:c>
      <x:c r="H9" s="64" t="str">
        <x:v>Watch the field-versus-flux explanation.</x:v>
      </x:c>
      <x:c r="I9" s="64" t="str">
        <x:v>Free lesson</x:v>
      </x:c>
      <x:c r="J9" s="4" t="n">
        <x:v>45</x:v>
      </x:c>
      <x:c r="K9" s="64" t="str">
        <x:v>Distinguish net flux from local electric field.</x:v>
      </x:c>
      <x:c r="L9" s="4" t="str">
        <x:v>P1</x:v>
      </x:c>
      <x:c r="M9" s="4" t="str">
        <x:v>Draft</x:v>
      </x:c>
    </x:row>
    <x:row r="10" ht="110" customHeight="1">
      <x:c r="A10" s="4" t="n">
        <x:v>7</x:v>
      </x:c>
      <x:c r="B10" s="64" t="str">
        <x:v>Class 12</x:v>
      </x:c>
      <x:c r="C10" s="64" t="str">
        <x:v>Physics</x:v>
      </x:c>
      <x:c r="D10" s="64" t="str">
        <x:v>Drift velocity</x:v>
      </x:c>
      <x:c r="E10" s="64" t="str">
        <x:v>Do electrons need to travel from the switch to the bulb first?</x:v>
      </x:c>
      <x:c r="F10" s="64" t="str">
        <x:v>Separate slow drift illustration from establishment of the electric-field response.</x:v>
      </x:c>
      <x:c r="G10" s="64" t="str">
        <x:v>Separate particle drift from the signal through the circuit.</x:v>
      </x:c>
      <x:c r="H10" s="64" t="str">
        <x:v>Open the Current Electricity revision.</x:v>
      </x:c>
      <x:c r="I10" s="64" t="str">
        <x:v>Free lesson</x:v>
      </x:c>
      <x:c r="J10" s="4" t="n">
        <x:v>50</x:v>
      </x:c>
      <x:c r="K10" s="64" t="str">
        <x:v>Do not claim instantaneous signal propagation.</x:v>
      </x:c>
      <x:c r="L10" s="4" t="str">
        <x:v>P1</x:v>
      </x:c>
      <x:c r="M10" s="4" t="str">
        <x:v>Draft</x:v>
      </x:c>
    </x:row>
    <x:row r="11" ht="110" customHeight="1">
      <x:c r="A11" s="4" t="n">
        <x:v>8</x:v>
      </x:c>
      <x:c r="B11" s="64" t="str">
        <x:v>Class 12</x:v>
      </x:c>
      <x:c r="C11" s="64" t="str">
        <x:v>Physics</x:v>
      </x:c>
      <x:c r="D11" s="64" t="str">
        <x:v>Capacitor energy</x:v>
      </x:c>
      <x:c r="E11" s="64" t="str">
        <x:v>Battery connected or disconnected? The answer changes.</x:v>
      </x:c>
      <x:c r="F11" s="64" t="str">
        <x:v>Two matched capacitor cases with V or Q held fixed.</x:v>
      </x:c>
      <x:c r="G11" s="64" t="str">
        <x:v>Write the fixed quantity before choosing an energy expression.</x:v>
      </x:c>
      <x:c r="H11" s="64" t="str">
        <x:v>Try both cases on the practice sheet.</x:v>
      </x:c>
      <x:c r="I11" s="64" t="str">
        <x:v>Practice</x:v>
      </x:c>
      <x:c r="J11" s="4" t="n">
        <x:v>55</x:v>
      </x:c>
      <x:c r="K11" s="64" t="str">
        <x:v>State idealizations and use consistent energy/work accounting.</x:v>
      </x:c>
      <x:c r="L11" s="4" t="str">
        <x:v>P1</x:v>
      </x:c>
      <x:c r="M11" s="4" t="str">
        <x:v>Draft</x:v>
      </x:c>
    </x:row>
    <x:row r="12" ht="110" customHeight="1">
      <x:c r="A12" s="4" t="n">
        <x:v>9</x:v>
      </x:c>
      <x:c r="B12" s="64" t="str">
        <x:v>Class 12</x:v>
      </x:c>
      <x:c r="C12" s="64" t="str">
        <x:v>Physics</x:v>
      </x:c>
      <x:c r="D12" s="64" t="str">
        <x:v>Lenz's law</x:v>
      </x:c>
      <x:c r="E12" s="64" t="str">
        <x:v>Choose the direction before the animation reveals it.</x:v>
      </x:c>
      <x:c r="F12" s="64" t="str">
        <x:v>Magnet/coil motion, flux-change cue, then current-direction reveal.</x:v>
      </x:c>
      <x:c r="G12" s="64" t="str">
        <x:v>Explain the change being opposed—not just the direction.</x:v>
      </x:c>
      <x:c r="H12" s="64" t="str">
        <x:v>Watch the full induction explanation.</x:v>
      </x:c>
      <x:c r="I12" s="64" t="str">
        <x:v>Free lesson</x:v>
      </x:c>
      <x:c r="J12" s="4" t="n">
        <x:v>45</x:v>
      </x:c>
      <x:c r="K12" s="64" t="str">
        <x:v>Validate viewpoint and current direction; no ambiguous 3D camera.</x:v>
      </x:c>
      <x:c r="L12" s="4" t="str">
        <x:v>P1</x:v>
      </x:c>
      <x:c r="M12" s="4" t="str">
        <x:v>Draft</x:v>
      </x:c>
    </x:row>
    <x:row r="13" ht="110" customHeight="1">
      <x:c r="A13" s="4" t="n">
        <x:v>10</x:v>
      </x:c>
      <x:c r="B13" s="64" t="str">
        <x:v>Class 10</x:v>
      </x:c>
      <x:c r="C13" s="64" t="str">
        <x:v>Chemistry</x:v>
      </x:c>
      <x:c r="D13" s="64" t="str">
        <x:v>Balancing equations</x:v>
      </x:c>
      <x:c r="E13" s="64" t="str">
        <x:v>Balance the equation WITHOUT changing the substance.</x:v>
      </x:c>
      <x:c r="F13" s="64" t="str">
        <x:v>Atom-count tiles; coefficient changes while subscripts stay locked.</x:v>
      </x:c>
      <x:c r="G13" s="64" t="str">
        <x:v>Change the count of particles, not the identity of the formula.</x:v>
      </x:c>
      <x:c r="H13" s="64" t="str">
        <x:v>Try the next balancing question.</x:v>
      </x:c>
      <x:c r="I13" s="64" t="str">
        <x:v>Practice</x:v>
      </x:c>
      <x:c r="J13" s="4" t="n">
        <x:v>30</x:v>
      </x:c>
      <x:c r="K13" s="64" t="str">
        <x:v>Use an approved reaction and preserve atom counts.</x:v>
      </x:c>
      <x:c r="L13" s="4" t="str">
        <x:v>P0</x:v>
      </x:c>
      <x:c r="M13" s="4" t="str">
        <x:v>Draft</x:v>
      </x:c>
    </x:row>
    <x:row r="14" ht="110" customHeight="1">
      <x:c r="A14" s="4" t="n">
        <x:v>11</x:v>
      </x:c>
      <x:c r="B14" s="64" t="str">
        <x:v>Class 10</x:v>
      </x:c>
      <x:c r="C14" s="64" t="str">
        <x:v>Chemistry</x:v>
      </x:c>
      <x:c r="D14" s="64" t="str">
        <x:v>pH scale</x:v>
      </x:c>
      <x:c r="E14" s="64" t="str">
        <x:v>One pH unit: one small change?</x:v>
      </x:c>
      <x:c r="F14" s="64" t="str">
        <x:v>Two labelled solutions and a visual count comparison.</x:v>
      </x:c>
      <x:c r="G14" s="64" t="str">
        <x:v>Check what the scale represents before comparing acidity.</x:v>
      </x:c>
      <x:c r="H14" s="64" t="str">
        <x:v>Open the Acids, Bases and Salts lesson.</x:v>
      </x:c>
      <x:c r="I14" s="64" t="str">
        <x:v>Free lesson</x:v>
      </x:c>
      <x:c r="J14" s="4" t="n">
        <x:v>35</x:v>
      </x:c>
      <x:c r="K14" s="64" t="str">
        <x:v>Use school-level pH model and correct direction; avoid health claims.</x:v>
      </x:c>
      <x:c r="L14" s="4" t="str">
        <x:v>P0</x:v>
      </x:c>
      <x:c r="M14" s="4" t="str">
        <x:v>Draft</x:v>
      </x:c>
    </x:row>
    <x:row r="15" ht="110" customHeight="1">
      <x:c r="A15" s="4" t="n">
        <x:v>12</x:v>
      </x:c>
      <x:c r="B15" s="64" t="str">
        <x:v>Class 10</x:v>
      </x:c>
      <x:c r="C15" s="64" t="str">
        <x:v>Chemistry</x:v>
      </x:c>
      <x:c r="D15" s="64" t="str">
        <x:v>Ionic conductivity</x:v>
      </x:c>
      <x:c r="E15" s="64" t="str">
        <x:v>Same salt: why compare the solid with the melt?</x:v>
      </x:c>
      <x:c r="F15" s="64" t="str">
        <x:v>Lattice fixed in one panel; mobile ions in the other.</x:v>
      </x:c>
      <x:c r="G15" s="64" t="str">
        <x:v>Identify which charged particles can move.</x:v>
      </x:c>
      <x:c r="H15" s="64" t="str">
        <x:v>Watch the bonding-to-conductivity explanation.</x:v>
      </x:c>
      <x:c r="I15" s="64" t="str">
        <x:v>Free lesson</x:v>
      </x:c>
      <x:c r="J15" s="4" t="n">
        <x:v>40</x:v>
      </x:c>
      <x:c r="K15" s="64" t="str">
        <x:v>Differentiate ionic motion from electron conduction.</x:v>
      </x:c>
      <x:c r="L15" s="4" t="str">
        <x:v>P0</x:v>
      </x:c>
      <x:c r="M15" s="4" t="str">
        <x:v>Draft</x:v>
      </x:c>
    </x:row>
    <x:row r="16" ht="110" customHeight="1">
      <x:c r="A16" s="4" t="n">
        <x:v>13</x:v>
      </x:c>
      <x:c r="B16" s="64" t="str">
        <x:v>Class 10</x:v>
      </x:c>
      <x:c r="C16" s="64" t="str">
        <x:v>Chemistry</x:v>
      </x:c>
      <x:c r="D16" s="64" t="str">
        <x:v>Oxidation and reduction</x:v>
      </x:c>
      <x:c r="E16" s="64" t="str">
        <x:v>Who is oxidised—and what changed?</x:v>
      </x:c>
      <x:c r="F16" s="64" t="str">
        <x:v>Approved reaction; colour-code the relevant change without crowding.</x:v>
      </x:c>
      <x:c r="G16" s="64" t="str">
        <x:v>Show your reason, not just the label.</x:v>
      </x:c>
      <x:c r="H16" s="64" t="str">
        <x:v>Try the redox identification card.</x:v>
      </x:c>
      <x:c r="I16" s="64" t="str">
        <x:v>Worksheet</x:v>
      </x:c>
      <x:c r="J16" s="4" t="n">
        <x:v>35</x:v>
      </x:c>
      <x:c r="K16" s="64" t="str">
        <x:v>Choose example consistent with the current syllabus treatment.</x:v>
      </x:c>
      <x:c r="L16" s="4" t="str">
        <x:v>P0</x:v>
      </x:c>
      <x:c r="M16" s="4" t="str">
        <x:v>Draft</x:v>
      </x:c>
    </x:row>
    <x:row r="17" ht="110" customHeight="1">
      <x:c r="A17" s="4" t="n">
        <x:v>14</x:v>
      </x:c>
      <x:c r="B17" s="64" t="str">
        <x:v>Class 12</x:v>
      </x:c>
      <x:c r="C17" s="64" t="str">
        <x:v>Chemistry</x:v>
      </x:c>
      <x:c r="D17" s="64" t="str">
        <x:v>Nernst equation</x:v>
      </x:c>
      <x:c r="E17" s="64" t="str">
        <x:v>Before taking the logarithm, build THIS correctly.</x:v>
      </x:c>
      <x:c r="F17" s="64" t="str">
        <x:v>Construct reaction quotient from a verified balanced reaction.</x:v>
      </x:c>
      <x:c r="G17" s="64" t="str">
        <x:v>The setup matters before the calculator.</x:v>
      </x:c>
      <x:c r="H17" s="64" t="str">
        <x:v>Watch the full electrochemistry example.</x:v>
      </x:c>
      <x:c r="I17" s="64" t="str">
        <x:v>Free lesson</x:v>
      </x:c>
      <x:c r="J17" s="4" t="n">
        <x:v>55</x:v>
      </x:c>
      <x:c r="K17" s="64" t="str">
        <x:v>Check reaction quotient, electron number and conventions.</x:v>
      </x:c>
      <x:c r="L17" s="4" t="str">
        <x:v>P1</x:v>
      </x:c>
      <x:c r="M17" s="4" t="str">
        <x:v>Draft</x:v>
      </x:c>
    </x:row>
    <x:row r="18" ht="110" customHeight="1">
      <x:c r="A18" s="4" t="n">
        <x:v>15</x:v>
      </x:c>
      <x:c r="B18" s="64" t="str">
        <x:v>Class 12</x:v>
      </x:c>
      <x:c r="C18" s="64" t="str">
        <x:v>Chemistry</x:v>
      </x:c>
      <x:c r="D18" s="64" t="str">
        <x:v>Chemical kinetics</x:v>
      </x:c>
      <x:c r="E18" s="64" t="str">
        <x:v>Can the unit of k identify the reaction order?</x:v>
      </x:c>
      <x:c r="F18" s="64" t="str">
        <x:v>Dimensional tiles and two approved rate laws.</x:v>
      </x:c>
      <x:c r="G18" s="64" t="str">
        <x:v>Use the units as a check on your rate law.</x:v>
      </x:c>
      <x:c r="H18" s="64" t="str">
        <x:v>Solve the second unit question.</x:v>
      </x:c>
      <x:c r="I18" s="64" t="str">
        <x:v>Practice</x:v>
      </x:c>
      <x:c r="J18" s="4" t="n">
        <x:v>40</x:v>
      </x:c>
      <x:c r="K18" s="64" t="str">
        <x:v>No claim that unit analysis alone establishes a mechanism.</x:v>
      </x:c>
      <x:c r="L18" s="4" t="str">
        <x:v>P1</x:v>
      </x:c>
      <x:c r="M18" s="4" t="str">
        <x:v>Draft</x:v>
      </x:c>
    </x:row>
    <x:row r="19" ht="110" customHeight="1">
      <x:c r="A19" s="4" t="n">
        <x:v>16</x:v>
      </x:c>
      <x:c r="B19" s="64" t="str">
        <x:v>Class 12</x:v>
      </x:c>
      <x:c r="C19" s="64" t="str">
        <x:v>Chemistry</x:v>
      </x:c>
      <x:c r="D19" s="64" t="str">
        <x:v>Organic reaction conditions</x:v>
      </x:c>
      <x:c r="E19" s="64" t="str">
        <x:v>Same starting molecule. Different conditions. Same product?</x:v>
      </x:c>
      <x:c r="F19" s="64" t="str">
        <x:v>Matched reagent/condition cards and approved product structures.</x:v>
      </x:c>
      <x:c r="G19" s="64" t="str">
        <x:v>Do not erase the conditions from a reaction.</x:v>
      </x:c>
      <x:c r="H19" s="64" t="str">
        <x:v>Open the reaction-conditions map.</x:v>
      </x:c>
      <x:c r="I19" s="64" t="str">
        <x:v>Worksheet</x:v>
      </x:c>
      <x:c r="J19" s="4" t="n">
        <x:v>45</x:v>
      </x:c>
      <x:c r="K19" s="64" t="str">
        <x:v>Subject reviewer must approve selectivity and scope.</x:v>
      </x:c>
      <x:c r="L19" s="4" t="str">
        <x:v>P1</x:v>
      </x:c>
      <x:c r="M19" s="4" t="str">
        <x:v>Draft</x:v>
      </x:c>
    </x:row>
    <x:row r="20" ht="110" customHeight="1">
      <x:c r="A20" s="4" t="n">
        <x:v>17</x:v>
      </x:c>
      <x:c r="B20" s="64" t="str">
        <x:v>Class 12</x:v>
      </x:c>
      <x:c r="C20" s="64" t="str">
        <x:v>Chemistry</x:v>
      </x:c>
      <x:c r="D20" s="64" t="str">
        <x:v>Coordination compounds</x:v>
      </x:c>
      <x:c r="E20" s="64" t="str">
        <x:v>Find the oxidation state before naming the complex.</x:v>
      </x:c>
      <x:c r="F20" s="64" t="str">
        <x:v>Charge ledger beside one verified coordination formula.</x:v>
      </x:c>
      <x:c r="G20" s="64" t="str">
        <x:v>Build the name from a checked structure.</x:v>
      </x:c>
      <x:c r="H20" s="64" t="str">
        <x:v>Try one naming question without the answer.</x:v>
      </x:c>
      <x:c r="I20" s="64" t="str">
        <x:v>Practice</x:v>
      </x:c>
      <x:c r="J20" s="4" t="n">
        <x:v>45</x:v>
      </x:c>
      <x:c r="K20" s="64" t="str">
        <x:v>Validate nomenclature and total charge.</x:v>
      </x:c>
      <x:c r="L20" s="4" t="str">
        <x:v>P1</x:v>
      </x:c>
      <x:c r="M20" s="4" t="str">
        <x:v>Draft</x:v>
      </x:c>
    </x:row>
    <x:row r="21" ht="110" customHeight="1">
      <x:c r="A21" s="4" t="n">
        <x:v>18</x:v>
      </x:c>
      <x:c r="B21" s="64" t="str">
        <x:v>Class 10</x:v>
      </x:c>
      <x:c r="C21" s="64" t="str">
        <x:v>Mathematics</x:v>
      </x:c>
      <x:c r="D21" s="64" t="str">
        <x:v>Lost algebraic solution</x:v>
      </x:c>
      <x:c r="E21" s="64" t="str">
        <x:v>This cancellation quietly deletes an answer.</x:v>
      </x:c>
      <x:c r="F21" s="64" t="str">
        <x:v>Simple equation with a zero case checked before division.</x:v>
      </x:c>
      <x:c r="G21" s="64" t="str">
        <x:v>Check the case that a division might exclude.</x:v>
      </x:c>
      <x:c r="H21" s="64" t="str">
        <x:v>Watch the worked algebra repair.</x:v>
      </x:c>
      <x:c r="I21" s="64" t="str">
        <x:v>Free lesson</x:v>
      </x:c>
      <x:c r="J21" s="4" t="n">
        <x:v>35</x:v>
      </x:c>
      <x:c r="K21" s="64" t="str">
        <x:v>Verify all original-domain solutions.</x:v>
      </x:c>
      <x:c r="L21" s="4" t="str">
        <x:v>P0</x:v>
      </x:c>
      <x:c r="M21" s="4" t="str">
        <x:v>Draft</x:v>
      </x:c>
    </x:row>
    <x:row r="22" ht="110" customHeight="1">
      <x:c r="A22" s="4" t="n">
        <x:v>19</x:v>
      </x:c>
      <x:c r="B22" s="64" t="str">
        <x:v>Class 10</x:v>
      </x:c>
      <x:c r="C22" s="64" t="str">
        <x:v>Mathematics</x:v>
      </x:c>
      <x:c r="D22" s="64" t="str">
        <x:v>Trigonometric identities</x:v>
      </x:c>
      <x:c r="E22" s="64" t="str">
        <x:v>Identity—or true only for this angle?</x:v>
      </x:c>
      <x:c r="F22" s="64" t="str">
        <x:v>Compare an identity with a condition-dependent equation.</x:v>
      </x:c>
      <x:c r="G22" s="64" t="str">
        <x:v>A numerical check is not a general proof.</x:v>
      </x:c>
      <x:c r="H22" s="64" t="str">
        <x:v>Try the identity-versus-equation pair.</x:v>
      </x:c>
      <x:c r="I22" s="64" t="str">
        <x:v>Practice</x:v>
      </x:c>
      <x:c r="J22" s="4" t="n">
        <x:v>40</x:v>
      </x:c>
      <x:c r="K22" s="64" t="str">
        <x:v>Use valid domains and do not imply testing proves an identity.</x:v>
      </x:c>
      <x:c r="L22" s="4" t="str">
        <x:v>P0</x:v>
      </x:c>
      <x:c r="M22" s="4" t="str">
        <x:v>Draft</x:v>
      </x:c>
    </x:row>
    <x:row r="23" ht="110" customHeight="1">
      <x:c r="A23" s="4" t="n">
        <x:v>20</x:v>
      </x:c>
      <x:c r="B23" s="64" t="str">
        <x:v>Class 10</x:v>
      </x:c>
      <x:c r="C23" s="64" t="str">
        <x:v>Mathematics</x:v>
      </x:c>
      <x:c r="D23" s="64" t="str">
        <x:v>Arithmetic progressions</x:v>
      </x:c>
      <x:c r="E23" s="64" t="str">
        <x:v>The nth term and the sum are answering different questions.</x:v>
      </x:c>
      <x:c r="F23" s="64" t="str">
        <x:v>Numbered sequence paired with a growing sum block.</x:v>
      </x:c>
      <x:c r="G23" s="64" t="str">
        <x:v>Label what the question is asking before choosing the formula.</x:v>
      </x:c>
      <x:c r="H23" s="64" t="str">
        <x:v>Get the AP decision card.</x:v>
      </x:c>
      <x:c r="I23" s="64" t="str">
        <x:v>Worksheet</x:v>
      </x:c>
      <x:c r="J23" s="4" t="n">
        <x:v>35</x:v>
      </x:c>
      <x:c r="K23" s="64" t="str">
        <x:v>Distinguish n, a_n and S_n explicitly.</x:v>
      </x:c>
      <x:c r="L23" s="4" t="str">
        <x:v>P0</x:v>
      </x:c>
      <x:c r="M23" s="4" t="str">
        <x:v>Draft</x:v>
      </x:c>
    </x:row>
    <x:row r="24" ht="110" customHeight="1">
      <x:c r="A24" s="4" t="n">
        <x:v>21</x:v>
      </x:c>
      <x:c r="B24" s="64" t="str">
        <x:v>Class 10</x:v>
      </x:c>
      <x:c r="C24" s="64" t="str">
        <x:v>Mathematics</x:v>
      </x:c>
      <x:c r="D24" s="64" t="str">
        <x:v>Similar figures</x:v>
      </x:c>
      <x:c r="E24" s="64" t="str">
        <x:v>Double a length—what happens to the area?</x:v>
      </x:c>
      <x:c r="F24" s="64" t="str">
        <x:v>Two correctly scaled similar figures and unit-square overlays.</x:v>
      </x:c>
      <x:c r="G24" s="64" t="str">
        <x:v>Identify whether the question is about length or area.</x:v>
      </x:c>
      <x:c r="H24" s="64" t="str">
        <x:v>Try the changed-scale challenge.</x:v>
      </x:c>
      <x:c r="I24" s="64" t="str">
        <x:v>Practice</x:v>
      </x:c>
      <x:c r="J24" s="4" t="n">
        <x:v>35</x:v>
      </x:c>
      <x:c r="K24" s="64" t="str">
        <x:v>Figures must be genuinely similar; area scale correct.</x:v>
      </x:c>
      <x:c r="L24" s="4" t="str">
        <x:v>P0</x:v>
      </x:c>
      <x:c r="M24" s="4" t="str">
        <x:v>Draft</x:v>
      </x:c>
    </x:row>
    <x:row r="25" ht="110" customHeight="1">
      <x:c r="A25" s="4" t="n">
        <x:v>22</x:v>
      </x:c>
      <x:c r="B25" s="64" t="str">
        <x:v>Class 12</x:v>
      </x:c>
      <x:c r="C25" s="64" t="str">
        <x:v>Mathematics</x:v>
      </x:c>
      <x:c r="D25" s="64" t="str">
        <x:v>Inverse functions</x:v>
      </x:c>
      <x:c r="E25" s="64" t="str">
        <x:v>Why can an inverse need a restricted domain?</x:v>
      </x:c>
      <x:c r="F25" s="64" t="str">
        <x:v>Horizontal-line test with a clearly selected branch.</x:v>
      </x:c>
      <x:c r="G25" s="64" t="str">
        <x:v>A branch choice is part of the answer.</x:v>
      </x:c>
      <x:c r="H25" s="64" t="str">
        <x:v>Open the inverse-functions revision.</x:v>
      </x:c>
      <x:c r="I25" s="64" t="str">
        <x:v>Free lesson</x:v>
      </x:c>
      <x:c r="J25" s="4" t="n">
        <x:v>50</x:v>
      </x:c>
      <x:c r="K25" s="64" t="str">
        <x:v>State range/domain and branch consistently.</x:v>
      </x:c>
      <x:c r="L25" s="4" t="str">
        <x:v>P1</x:v>
      </x:c>
      <x:c r="M25" s="4" t="str">
        <x:v>Draft</x:v>
      </x:c>
    </x:row>
    <x:row r="26" ht="110" customHeight="1">
      <x:c r="A26" s="4" t="n">
        <x:v>23</x:v>
      </x:c>
      <x:c r="B26" s="64" t="str">
        <x:v>Class 12</x:v>
      </x:c>
      <x:c r="C26" s="64" t="str">
        <x:v>Mathematics</x:v>
      </x:c>
      <x:c r="D26" s="64" t="str">
        <x:v>Chain rule</x:v>
      </x:c>
      <x:c r="E26" s="64" t="str">
        <x:v>One missing factor changes the derivative.</x:v>
      </x:c>
      <x:c r="F26" s="64" t="str">
        <x:v>Nested-function boxes; expose inner derivative in the final line.</x:v>
      </x:c>
      <x:c r="G26" s="64" t="str">
        <x:v>Find the inner function before differentiating.</x:v>
      </x:c>
      <x:c r="H26" s="64" t="str">
        <x:v>Try the next derivative yourself.</x:v>
      </x:c>
      <x:c r="I26" s="64" t="str">
        <x:v>Practice</x:v>
      </x:c>
      <x:c r="J26" s="4" t="n">
        <x:v>35</x:v>
      </x:c>
      <x:c r="K26" s="64" t="str">
        <x:v>Choose an example with no hidden domain complication.</x:v>
      </x:c>
      <x:c r="L26" s="4" t="str">
        <x:v>P1</x:v>
      </x:c>
      <x:c r="M26" s="4" t="str">
        <x:v>Draft</x:v>
      </x:c>
    </x:row>
    <x:row r="27" ht="110" customHeight="1">
      <x:c r="A27" s="4" t="n">
        <x:v>24</x:v>
      </x:c>
      <x:c r="B27" s="64" t="str">
        <x:v>Class 12</x:v>
      </x:c>
      <x:c r="C27" s="64" t="str">
        <x:v>Mathematics</x:v>
      </x:c>
      <x:c r="D27" s="64" t="str">
        <x:v>Integration constant</x:v>
      </x:c>
      <x:c r="E27" s="64" t="str">
        <x:v>Does +C really matter?</x:v>
      </x:c>
      <x:c r="F27" s="64" t="str">
        <x:v>Family of antiderivative curves plus a supplied initial condition.</x:v>
      </x:c>
      <x:c r="G27" s="64" t="str">
        <x:v>An indefinite integral describes a family.</x:v>
      </x:c>
      <x:c r="H27" s="64" t="str">
        <x:v>Watch the worked initial-condition example.</x:v>
      </x:c>
      <x:c r="I27" s="64" t="str">
        <x:v>Free lesson</x:v>
      </x:c>
      <x:c r="J27" s="4" t="n">
        <x:v>40</x:v>
      </x:c>
      <x:c r="K27" s="64" t="str">
        <x:v>Differentiate to verify and distinguish definite integration.</x:v>
      </x:c>
      <x:c r="L27" s="4" t="str">
        <x:v>P1</x:v>
      </x:c>
      <x:c r="M27" s="4" t="str">
        <x:v>Draft</x:v>
      </x:c>
    </x:row>
    <x:row r="28" ht="110" customHeight="1">
      <x:c r="A28" s="4" t="n">
        <x:v>25</x:v>
      </x:c>
      <x:c r="B28" s="64" t="str">
        <x:v>Class 12</x:v>
      </x:c>
      <x:c r="C28" s="64" t="str">
        <x:v>Mathematics</x:v>
      </x:c>
      <x:c r="D28" s="64" t="str">
        <x:v>Conditional probability</x:v>
      </x:c>
      <x:c r="E28" s="64" t="str">
        <x:v>P(A given B) or P(B given A)? Read the condition.</x:v>
      </x:c>
      <x:c r="F28" s="64" t="str">
        <x:v>Small labelled frequency table; change the reference group.</x:v>
      </x:c>
      <x:c r="G28" s="64" t="str">
        <x:v>The denominator follows the condition.</x:v>
      </x:c>
      <x:c r="H28" s="64" t="str">
        <x:v>Try the second conditional question.</x:v>
      </x:c>
      <x:c r="I28" s="64" t="str">
        <x:v>Practice</x:v>
      </x:c>
      <x:c r="J28" s="4" t="n">
        <x:v>45</x:v>
      </x:c>
      <x:c r="K28" s="64" t="str">
        <x:v>Use consistent counts and do not conflate reverse conditionals.</x:v>
      </x:c>
      <x:c r="L28" s="4" t="str">
        <x:v>P1</x:v>
      </x:c>
      <x:c r="M28" s="4" t="str">
        <x:v>Draft</x:v>
      </x:c>
    </x:row>
    <x:row r="29" ht="110" customHeight="1">
      <x:c r="A29" s="4" t="n">
        <x:v>26</x:v>
      </x:c>
      <x:c r="B29" s="64" t="str">
        <x:v>Class 10</x:v>
      </x:c>
      <x:c r="C29" s="64" t="str">
        <x:v>Biology</x:v>
      </x:c>
      <x:c r="D29" s="64" t="str">
        <x:v>Plant transport</x:v>
      </x:c>
      <x:c r="E29" s="64" t="str">
        <x:v>Which tissue belongs on this transport route?</x:v>
      </x:c>
      <x:c r="F29" s="64" t="str">
        <x:v>Simplified plant with only relevant pathways visible.</x:v>
      </x:c>
      <x:c r="G29" s="64" t="str">
        <x:v>Match the tissue to the process, not just a memorised colour.</x:v>
      </x:c>
      <x:c r="H29" s="64" t="str">
        <x:v>Watch the Life Processes revision.</x:v>
      </x:c>
      <x:c r="I29" s="64" t="str">
        <x:v>Free lesson</x:v>
      </x:c>
      <x:c r="J29" s="4" t="n">
        <x:v>40</x:v>
      </x:c>
      <x:c r="K29" s="64" t="str">
        <x:v>Avoid portraying all phloem transport as one universal direction.</x:v>
      </x:c>
      <x:c r="L29" s="4" t="str">
        <x:v>P0</x:v>
      </x:c>
      <x:c r="M29" s="4" t="str">
        <x:v>Draft</x:v>
      </x:c>
    </x:row>
    <x:row r="30" ht="110" customHeight="1">
      <x:c r="A30" s="4" t="n">
        <x:v>27</x:v>
      </x:c>
      <x:c r="B30" s="64" t="str">
        <x:v>Class 10</x:v>
      </x:c>
      <x:c r="C30" s="64" t="str">
        <x:v>Biology</x:v>
      </x:c>
      <x:c r="D30" s="64" t="str">
        <x:v>Reflex actions</x:v>
      </x:c>
      <x:c r="E30" s="64" t="str">
        <x:v>Fast response: does that mean the brain learns nothing?</x:v>
      </x:c>
      <x:c r="F30" s="64" t="str">
        <x:v>Approved reflex arc, followed by a separate information pathway.</x:v>
      </x:c>
      <x:c r="G30" s="64" t="str">
        <x:v>Distinguish the response pathway from awareness.</x:v>
      </x:c>
      <x:c r="H30" s="64" t="str">
        <x:v>Try labelling the reflex-arc sketch.</x:v>
      </x:c>
      <x:c r="I30" s="64" t="str">
        <x:v>Worksheet</x:v>
      </x:c>
      <x:c r="J30" s="4" t="n">
        <x:v>45</x:v>
      </x:c>
      <x:c r="K30" s="64" t="str">
        <x:v>Avoid overstating that the brain is never involved.</x:v>
      </x:c>
      <x:c r="L30" s="4" t="str">
        <x:v>P0</x:v>
      </x:c>
      <x:c r="M30" s="4" t="str">
        <x:v>Draft</x:v>
      </x:c>
    </x:row>
    <x:row r="31" ht="110" customHeight="1">
      <x:c r="A31" s="4" t="n">
        <x:v>28</x:v>
      </x:c>
      <x:c r="B31" s="64" t="str">
        <x:v>Class 10</x:v>
      </x:c>
      <x:c r="C31" s="64" t="str">
        <x:v>Biology</x:v>
      </x:c>
      <x:c r="D31" s="64" t="str">
        <x:v>Inheritance probabilities</x:v>
      </x:c>
      <x:c r="E31" s="64" t="str">
        <x:v>A 3:1 ratio does NOT promise exactly four children.</x:v>
      </x:c>
      <x:c r="F31" s="64" t="str">
        <x:v>Probability model separated from small-sample outcomes.</x:v>
      </x:c>
      <x:c r="G31" s="64" t="str">
        <x:v>Expected proportions are not a guaranteed family pattern.</x:v>
      </x:c>
      <x:c r="H31" s="64" t="str">
        <x:v>Open the inheritance explanation.</x:v>
      </x:c>
      <x:c r="I31" s="64" t="str">
        <x:v>Free lesson</x:v>
      </x:c>
      <x:c r="J31" s="4" t="n">
        <x:v>45</x:v>
      </x:c>
      <x:c r="K31" s="64" t="str">
        <x:v>Use textbook Mendelian assumptions; no human trait oversimplification.</x:v>
      </x:c>
      <x:c r="L31" s="4" t="str">
        <x:v>P0</x:v>
      </x:c>
      <x:c r="M31" s="4" t="str">
        <x:v>Draft</x:v>
      </x:c>
    </x:row>
    <x:row r="32" ht="110" customHeight="1">
      <x:c r="A32" s="4" t="n">
        <x:v>29</x:v>
      </x:c>
      <x:c r="B32" s="64" t="str">
        <x:v>Class 10</x:v>
      </x:c>
      <x:c r="C32" s="64" t="str">
        <x:v>Biology</x:v>
      </x:c>
      <x:c r="D32" s="64" t="str">
        <x:v>Stomata</x:v>
      </x:c>
      <x:c r="E32" s="64" t="str">
        <x:v>Open the pore: what useful exchange and cost change together?</x:v>
      </x:c>
      <x:c r="F32" s="64" t="str">
        <x:v>Guard-cell schematic, gas exchange and water-loss arrows.</x:v>
      </x:c>
      <x:c r="G32" s="64" t="str">
        <x:v>Connect structure, function and trade-off.</x:v>
      </x:c>
      <x:c r="H32" s="64" t="str">
        <x:v>Draw and check the simplified diagram.</x:v>
      </x:c>
      <x:c r="I32" s="64" t="str">
        <x:v>Practice</x:v>
      </x:c>
      <x:c r="J32" s="4" t="n">
        <x:v>40</x:v>
      </x:c>
      <x:c r="K32" s="64" t="str">
        <x:v>No unsupported claim that one condition explains all stomatal behavior.</x:v>
      </x:c>
      <x:c r="L32" s="4" t="str">
        <x:v>P0</x:v>
      </x:c>
      <x:c r="M32" s="4" t="str">
        <x:v>Draft</x:v>
      </x:c>
    </x:row>
    <x:row r="33" ht="110" customHeight="1">
      <x:c r="A33" s="4" t="n">
        <x:v>30</x:v>
      </x:c>
      <x:c r="B33" s="64" t="str">
        <x:v>Class 12</x:v>
      </x:c>
      <x:c r="C33" s="64" t="str">
        <x:v>Biology</x:v>
      </x:c>
      <x:c r="D33" s="64" t="str">
        <x:v>Chromosome vs DNA count</x:v>
      </x:c>
      <x:c r="E33" s="64" t="str">
        <x:v>The chromosome count and DNA amount are not the same counter.</x:v>
      </x:c>
      <x:c r="F33" s="64" t="str">
        <x:v>Explicit 2n=4 example with separate labelled counters across approved states.</x:v>
      </x:c>
      <x:c r="G33" s="64" t="str">
        <x:v>Name the stage before counting.</x:v>
      </x:c>
      <x:c r="H33" s="64" t="str">
        <x:v>Try the next stage without the labels.</x:v>
      </x:c>
      <x:c r="I33" s="64" t="str">
        <x:v>Practice</x:v>
      </x:c>
      <x:c r="J33" s="4" t="n">
        <x:v>55</x:v>
      </x:c>
      <x:c r="K33" s="64" t="str">
        <x:v>Validate centromere-based chromosome counts and DNA content.</x:v>
      </x:c>
      <x:c r="L33" s="4" t="str">
        <x:v>P1</x:v>
      </x:c>
      <x:c r="M33" s="4" t="str">
        <x:v>Draft</x:v>
      </x:c>
    </x:row>
    <x:row r="34" ht="110" customHeight="1">
      <x:c r="A34" s="4" t="n">
        <x:v>31</x:v>
      </x:c>
      <x:c r="B34" s="64" t="str">
        <x:v>Class 12</x:v>
      </x:c>
      <x:c r="C34" s="64" t="str">
        <x:v>Biology</x:v>
      </x:c>
      <x:c r="D34" s="64" t="str">
        <x:v>DNA replication direction</x:v>
      </x:c>
      <x:c r="E34" s="64" t="str">
        <x:v>Why do the two new strands look different?</x:v>
      </x:c>
      <x:c r="F34" s="64" t="str">
        <x:v>Fixed strand orientation; 5-prime/3-prime labels remain visible.</x:v>
      </x:c>
      <x:c r="G34" s="64" t="str">
        <x:v>Track direction before memorising strand names.</x:v>
      </x:c>
      <x:c r="H34" s="64" t="str">
        <x:v>Watch the replication walkthrough.</x:v>
      </x:c>
      <x:c r="I34" s="64" t="str">
        <x:v>Free lesson</x:v>
      </x:c>
      <x:c r="J34" s="4" t="n">
        <x:v>55</x:v>
      </x:c>
      <x:c r="K34" s="64" t="str">
        <x:v>Scientifically validate polymerase direction and fork geometry.</x:v>
      </x:c>
      <x:c r="L34" s="4" t="str">
        <x:v>P1</x:v>
      </x:c>
      <x:c r="M34" s="4" t="str">
        <x:v>Draft</x:v>
      </x:c>
    </x:row>
    <x:row r="35" ht="110" customHeight="1">
      <x:c r="A35" s="4" t="n">
        <x:v>32</x:v>
      </x:c>
      <x:c r="B35" s="64" t="str">
        <x:v>Class 12</x:v>
      </x:c>
      <x:c r="C35" s="64" t="str">
        <x:v>Biology</x:v>
      </x:c>
      <x:c r="D35" s="64" t="str">
        <x:v>Microbes and immunity</x:v>
      </x:c>
      <x:c r="E35" s="64" t="str">
        <x:v>Bacterium or virus? Why does the distinction matter here?</x:v>
      </x:c>
      <x:c r="F35" s="64" t="str">
        <x:v>Compare approved structures and mechanisms at syllabus level.</x:v>
      </x:c>
      <x:c r="G35" s="64" t="str">
        <x:v>Use the biological mechanism, not a vague germ label.</x:v>
      </x:c>
      <x:c r="H35" s="64" t="str">
        <x:v>Open the immunity revision.</x:v>
      </x:c>
      <x:c r="I35" s="64" t="str">
        <x:v>Free lesson</x:v>
      </x:c>
      <x:c r="J35" s="4" t="n">
        <x:v>40</x:v>
      </x:c>
      <x:c r="K35" s="64" t="str">
        <x:v>Educational biology only; no personal diagnosis or treatment advice.</x:v>
      </x:c>
      <x:c r="L35" s="4" t="str">
        <x:v>P1</x:v>
      </x:c>
      <x:c r="M35" s="4" t="str">
        <x:v>Draft</x:v>
      </x:c>
    </x:row>
    <x:row r="36" ht="110" customHeight="1">
      <x:c r="A36" s="4" t="n">
        <x:v>33</x:v>
      </x:c>
      <x:c r="B36" s="64" t="str">
        <x:v>Class 12</x:v>
      </x:c>
      <x:c r="C36" s="64" t="str">
        <x:v>Biology</x:v>
      </x:c>
      <x:c r="D36" s="64" t="str">
        <x:v>Ecological pyramids</x:v>
      </x:c>
      <x:c r="E36" s="64" t="str">
        <x:v>Which pyramid are you drawing: energy or biomass?</x:v>
      </x:c>
      <x:c r="F36" s="64" t="str">
        <x:v>Two clearly named diagrams with separate units.</x:v>
      </x:c>
      <x:c r="G36" s="64" t="str">
        <x:v>Read the quantity before choosing the shape.</x:v>
      </x:c>
      <x:c r="H36" s="64" t="str">
        <x:v>Try the ecosystem diagram question.</x:v>
      </x:c>
      <x:c r="I36" s="64" t="str">
        <x:v>Practice</x:v>
      </x:c>
      <x:c r="J36" s="4" t="n">
        <x:v>45</x:v>
      </x:c>
      <x:c r="K36" s="64" t="str">
        <x:v>Do not generalise biomass inversion to an energy pyramid.</x:v>
      </x:c>
      <x:c r="L36" s="4" t="str">
        <x:v>P1</x:v>
      </x:c>
      <x:c r="M36" s="4" t="str">
        <x:v>Draft</x:v>
      </x:c>
    </x:row>
    <x:row r="37" ht="110" customHeight="1">
      <x:c r="A37" s="4" t="n">
        <x:v>34</x:v>
      </x:c>
      <x:c r="B37" s="64" t="str">
        <x:v>Both classes</x:v>
      </x:c>
      <x:c r="C37" s="64" t="str">
        <x:v>Study method</x:v>
      </x:c>
      <x:c r="D37" s="64" t="str">
        <x:v>Answer quality</x:v>
      </x:c>
      <x:c r="E37" s="64" t="str">
        <x:v>Which line makes this answer scientifically complete?</x:v>
      </x:c>
      <x:c r="F37" s="64" t="str">
        <x:v>Original anonymous model answer; add missing definition condition or step.</x:v>
      </x:c>
      <x:c r="G37" s="64" t="str">
        <x:v>A longer answer is not automatically a better answer.</x:v>
      </x:c>
      <x:c r="H37" s="64" t="str">
        <x:v>Inspect a complete solved paper before buying.</x:v>
      </x:c>
      <x:c r="I37" s="64" t="str">
        <x:v>Book proof</x:v>
      </x:c>
      <x:c r="J37" s="4" t="n">
        <x:v>35</x:v>
      </x:c>
      <x:c r="K37" s="64" t="str">
        <x:v>Use an ExamLeaf rubric unless an official marking scheme is cited.</x:v>
      </x:c>
      <x:c r="L37" s="4" t="str">
        <x:v>P0</x:v>
      </x:c>
      <x:c r="M37" s="4" t="str">
        <x:v>Draft</x:v>
      </x:c>
    </x:row>
    <x:row r="38" ht="110" customHeight="1">
      <x:c r="A38" s="4" t="n">
        <x:v>35</x:v>
      </x:c>
      <x:c r="B38" s="64" t="str">
        <x:v>Both classes</x:v>
      </x:c>
      <x:c r="C38" s="64" t="str">
        <x:v>Study method</x:v>
      </x:c>
      <x:c r="D38" s="64" t="str">
        <x:v>Confidence check</x:v>
      </x:c>
      <x:c r="E38" s="64" t="str">
        <x:v>It feels clear. Can you do the next one without the video?</x:v>
      </x:c>
      <x:c r="F38" s="64" t="str">
        <x:v>Hide a just-used relationship; present a fresh short question.</x:v>
      </x:c>
      <x:c r="G38" s="64" t="str">
        <x:v>Check your understanding with an independent attempt.</x:v>
      </x:c>
      <x:c r="H38" s="64" t="str">
        <x:v>Take the free three-question check.</x:v>
      </x:c>
      <x:c r="I38" s="64" t="str">
        <x:v>Trust / practice</x:v>
      </x:c>
      <x:c r="J38" s="4" t="n">
        <x:v>40</x:v>
      </x:c>
      <x:c r="K38" s="64" t="str">
        <x:v>Do not equate one correct answer with lasting mastery.</x:v>
      </x:c>
      <x:c r="L38" s="4" t="str">
        <x:v>P0</x:v>
      </x:c>
      <x:c r="M38" s="4" t="str">
        <x:v>Draft</x:v>
      </x:c>
    </x:row>
    <x:row r="39" ht="110" customHeight="1">
      <x:c r="A39" s="4" t="n">
        <x:v>36</x:v>
      </x:c>
      <x:c r="B39" s="64" t="str">
        <x:v>Both classes</x:v>
      </x:c>
      <x:c r="C39" s="64" t="str">
        <x:v>Product proof</x:v>
      </x:c>
      <x:c r="D39" s="64" t="str">
        <x:v>Book-to-video repair</x:v>
      </x:c>
      <x:c r="E39" s="64" t="str">
        <x:v>One wrong step. One page. One explanation.</x:v>
      </x:c>
      <x:c r="F39" s="64" t="str">
        <x:v>Real approved book page; scan chapter QR; show matching repair, then new problem.</x:v>
      </x:c>
      <x:c r="G39" s="64" t="str">
        <x:v>See how the book and the lesson work together.</x:v>
      </x:c>
      <x:c r="H39" s="64" t="str">
        <x:v>Preview the book and included access terms.</x:v>
      </x:c>
      <x:c r="I39" s="64" t="str">
        <x:v>Purchase</x:v>
      </x:c>
      <x:c r="J39" s="4" t="n">
        <x:v>45</x:v>
      </x:c>
      <x:c r="K39" s="64" t="str">
        <x:v>Use the actual finished product; show access duration and no fabricated results.</x:v>
      </x:c>
      <x:c r="L39" s="4" t="str">
        <x:v>P0</x:v>
      </x:c>
      <x:c r="M39" s="4" t="str">
        <x:v>Draft</x:v>
      </x:c>
    </x:row>
    <x:row r="40" ht="110" customHeight="1">
      <x:c r="A40" s="4"/>
      <x:c r="B40" s="64"/>
      <x:c r="C40" s="64"/>
      <x:c r="D40" s="64"/>
      <x:c r="E40" s="64"/>
      <x:c r="F40" s="64"/>
      <x:c r="G40" s="64"/>
      <x:c r="H40" s="64"/>
      <x:c r="I40" s="64"/>
      <x:c r="J40" s="4"/>
      <x:c r="K40" s="64"/>
      <x:c r="L40" s="4"/>
      <x:c r="M40" s="4"/>
    </x:row>
  </x:sheetData>
  <x:mergeCells>
    <x:mergeCell ref="A1:M1"/>
  </x:mergeCells>
  <x:dataValidations count="2">
    <x:dataValidation type="list" sqref="M4:M39">
      <x:formula1>"Draft,Science review,Ready,Published,Retired"</x:formula1>
    </x:dataValidation>
    <x:dataValidation type="list" sqref="L4:L39">
      <x:formula1>"P0,P1,P2"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65" hidden="0" customWidth="1"/>
    <x:col min="4" max="4" width="61" hidden="0" customWidth="1"/>
    <x:col min="5" max="5" width="63" hidden="0" customWidth="1"/>
  </x:cols>
  <x:sheetData>
    <x:row r="1" ht="38" customHeight="1">
      <x:c r="A1" s="8" t="str">
        <x:v>SOURCE LEDGER | PUBLIC SOURCES CHECKED 13 OCTOBER 2026 + OPEN VALIDATION GAPS</x:v>
      </x:c>
      <x:c r="B1" s="8"/>
      <x:c r="C1" s="8"/>
      <x:c r="D1" s="8"/>
      <x:c r="E1" s="8"/>
    </x:row>
    <x:row r="2" ht="23" customHeight="1">
      <x:c r="A2" s="64"/>
      <x:c r="B2" s="64"/>
      <x:c r="C2" s="64"/>
      <x:c r="D2" s="64"/>
      <x:c r="E2" s="64"/>
    </x:row>
    <x:row r="3" ht="40" customHeight="1">
      <x:c r="A3" s="14" t="str">
        <x:v>Topic</x:v>
      </x:c>
      <x:c r="B3" s="14" t="str">
        <x:v>Source type</x:v>
      </x:c>
      <x:c r="C3" s="14" t="str">
        <x:v>URL</x:v>
      </x:c>
      <x:c r="D3" s="14" t="str">
        <x:v>What it supports</x:v>
      </x:c>
      <x:c r="E3" s="14" t="str">
        <x:v>Important limitation</x:v>
      </x:c>
    </x:row>
    <x:row r="4" ht="76" customHeight="1">
      <x:c r="A4" s="64" t="str">
        <x:v>ASSEB structure</x:v>
      </x:c>
      <x:c r="B4" s="64" t="str">
        <x:v>Official board</x:v>
      </x:c>
      <x:c r="C4" s="64" t="str">
        <x:v>https://asseb.in/</x:v>
      </x:c>
      <x:c r="D4" s="64" t="str">
        <x:v>Current Division I/II naming; former SEBA/AHSEC.</x:v>
      </x:c>
      <x:c r="E4" s="64" t="str">
        <x:v>Verified public source; no board endorsement implied.</x:v>
      </x:c>
    </x:row>
    <x:row r="5" ht="76" customHeight="1">
      <x:c r="A5" s="64" t="str">
        <x:v>Assam curriculum</x:v>
      </x:c>
      <x:c r="B5" s="64" t="str">
        <x:v>Official Division I</x:v>
      </x:c>
      <x:c r="C5" s="64" t="str">
        <x:v>https://site.sebaonline.org/</x:v>
      </x:c>
      <x:c r="D5" s="64" t="str">
        <x:v>Current syllabus/notifications; confirm class, medium, year before publication.</x:v>
      </x:c>
      <x:c r="E5" s="64" t="str">
        <x:v>Download authoritative curriculum and record version before writing.</x:v>
      </x:c>
    </x:row>
    <x:row r="6" ht="76" customHeight="1">
      <x:c r="A6" s="64" t="str">
        <x:v>Assam rural digital access</x:v>
      </x:c>
      <x:c r="B6" s="64" t="str">
        <x:v>ASER 2024 state report</x:v>
      </x:c>
      <x:c r="C6" s="64" t="str">
        <x:v>https://asercentre.org/wp-content/uploads/2022/12/Assam-1.pdf</x:v>
      </x:c>
      <x:c r="D6" s="64" t="str">
        <x:v>Rural ages 14–16; 91.4% home smartphone; 14.6% own among smartphone-capable.</x:v>
      </x:c>
      <x:c r="E6" s="64" t="str">
        <x:v>Survey denominator differs by question; not an all-Assam personal-phone rate.</x:v>
      </x:c>
    </x:row>
    <x:row r="7" ht="76" customHeight="1">
      <x:c r="A7" s="64" t="str">
        <x:v>Oswaal current catalogue</x:v>
      </x:c>
      <x:c r="B7" s="64" t="str">
        <x:v>Publisher</x:v>
      </x:c>
      <x:c r="C7" s="64" t="str">
        <x:v>https://oswaalbooks.com/</x:v>
      </x:c>
      <x:c r="D7" s="64" t="str">
        <x:v>Current sample-paper products and publisher-advertised digital/AI features.</x:v>
      </x:c>
      <x:c r="E7" s="64" t="str">
        <x:v>Snapshot 13 Oct 2026; CBSE products are not exact Assam equivalents.</x:v>
      </x:c>
    </x:row>
    <x:row r="8" ht="76" customHeight="1">
      <x:c r="A8" s="64" t="str">
        <x:v>Oswaal Physics</x:v>
      </x:c>
      <x:c r="B8" s="64" t="str">
        <x:v>Publisher product</x:v>
      </x:c>
      <x:c r="C8" s="64" t="str">
        <x:v>https://oswaalbooks.com/products/cbse-15-sample-question-papers-class-12-board-exam-physics-2026-27-based-on-latest-cbse-sqp-dated-21-sep-2026-new-questions-typologies-with-oswaal-ai</x:v>
      </x:c>
      <x:c r="D8" s="64" t="str">
        <x:v>Class 12 Physics 15 SQP 2026–27; listed INR 499 when checked.</x:v>
      </x:c>
      <x:c r="E8" s="64" t="str">
        <x:v>Recheck price, availability and inclusions at launch.</x:v>
      </x:c>
    </x:row>
    <x:row r="9" ht="76" customHeight="1">
      <x:c r="A9" s="64" t="str">
        <x:v>Arihant</x:v>
      </x:c>
      <x:c r="B9" s="64" t="str">
        <x:v>Publisher</x:v>
      </x:c>
      <x:c r="C9" s="64" t="str">
        <x:v>https://arihantbooks.com/</x:v>
      </x:c>
      <x:c r="D9" s="64" t="str">
        <x:v>Sample-paper/All in One formats, solutions and revision aids.</x:v>
      </x:c>
      <x:c r="E9" s="64" t="str">
        <x:v>Exact SKU, board and discount must be compared, not brand-wide price assumptions.</x:v>
      </x:c>
    </x:row>
    <x:row r="10" ht="76" customHeight="1">
      <x:c r="A10" s="64" t="str">
        <x:v>PW Assam</x:v>
      </x:c>
      <x:c r="B10" s="64" t="str">
        <x:v>Provider</x:v>
      </x:c>
      <x:c r="C10" s="64" t="str">
        <x:v>https://www.pw.live/asseb/class-10</x:v>
      </x:c>
      <x:c r="D10" s="64" t="str">
        <x:v>Dedicated ASSEB Class 10 page, free content and paid offerings.</x:v>
      </x:c>
      <x:c r="E10" s="64" t="str">
        <x:v>Evidence that Assam digital education is not an uncontested market.</x:v>
      </x:c>
    </x:row>
    <x:row r="11" ht="76" customHeight="1">
      <x:c r="A11" s="64" t="str">
        <x:v>Instagram creator guidance</x:v>
      </x:c>
      <x:c r="B11" s="64" t="str">
        <x:v>Meta</x:v>
      </x:c>
      <x:c r="C11" s="64" t="str">
        <x:v>https://about.fb.com/news/2024/10/best-practices-education-hub-creators-instagram/</x:v>
      </x:c>
      <x:c r="D11" s="64" t="str">
        <x:v>Professional-dashboard Best Practices provides personalized guidance.</x:v>
      </x:c>
      <x:c r="E11" s="64" t="str">
        <x:v>Does not establish a universal posting frequency or viral formula.</x:v>
      </x:c>
    </x:row>
    <x:row r="12" ht="76" customHeight="1">
      <x:c r="A12" s="64" t="str">
        <x:v>Instagram ranking</x:v>
      </x:c>
      <x:c r="B12" s="64" t="str">
        <x:v>Meta</x:v>
      </x:c>
      <x:c r="C12" s="64" t="str">
        <x:v>https://about.fb.com/news/2023/06/how-ai-ranks-content-on-facebook-and-instagram/</x:v>
      </x:c>
      <x:c r="D12" s="64" t="str">
        <x:v>Multiple ranking predictions/signals and personalization.</x:v>
      </x:c>
      <x:c r="E12" s="64" t="str">
        <x:v>Do not claim exact signal weights or guaranteed distribution.</x:v>
      </x:c>
    </x:row>
    <x:row r="13" ht="76" customHeight="1">
      <x:c r="A13" s="64" t="str">
        <x:v>Teen advertising</x:v>
      </x:c>
      <x:c r="B13" s="64" t="str">
        <x:v>Meta</x:v>
      </x:c>
      <x:c r="C13" s="64" t="str">
        <x:v>https://about.fb.com/news/2023/01/age-appropriate-ads-for-teens/</x:v>
      </x:c>
      <x:c r="D13" s="64" t="str">
        <x:v>Teen advertising restrictions.</x:v>
      </x:c>
      <x:c r="E13" s="64" t="str">
        <x:v>Design no behavioural retargeting to minors; recheck account policies.</x:v>
      </x:c>
    </x:row>
    <x:row r="14" ht="76" customHeight="1">
      <x:c r="A14" s="64" t="str">
        <x:v>YouTube Shorts handoff</x:v>
      </x:c>
      <x:c r="B14" s="64" t="str">
        <x:v>YouTube Help</x:v>
      </x:c>
      <x:c r="C14" s="64" t="str">
        <x:v>https://support.google.com/youtube/answer/14075157?hl=en</x:v>
      </x:c>
      <x:c r="D14" s="64" t="str">
        <x:v>Related video link from Short to channel content.</x:v>
      </x:c>
      <x:c r="E14" s="64" t="str">
        <x:v>Feature requires appropriate account access.</x:v>
      </x:c>
    </x:row>
    <x:row r="15" ht="76" customHeight="1">
      <x:c r="A15" s="64" t="str">
        <x:v>WhatsApp permission</x:v>
      </x:c>
      <x:c r="B15" s="64" t="str">
        <x:v>WhatsApp</x:v>
      </x:c>
      <x:c r="C15" s="64" t="str">
        <x:v>https://business.whatsapp.com/policy</x:v>
      </x:c>
      <x:c r="D15" s="64" t="str">
        <x:v>Permission, expectation and opt-out policy.</x:v>
      </x:c>
      <x:c r="E15" s="64" t="str">
        <x:v>Message templates/categories and pricing must be checked for actual account.</x:v>
      </x:c>
    </x:row>
    <x:row r="16" ht="76" customHeight="1">
      <x:c r="A16" s="64" t="str">
        <x:v>Gateway</x:v>
      </x:c>
      <x:c r="B16" s="64" t="str">
        <x:v>Razorpay</x:v>
      </x:c>
      <x:c r="C16" s="64" t="str">
        <x:v>https://razorpay.com/pricing/</x:v>
      </x:c>
      <x:c r="D16" s="64" t="str">
        <x:v>Standard 2% + GST pricing; promo excluded.</x:v>
      </x:c>
      <x:c r="E16" s="64" t="str">
        <x:v>Actual payment-method/negotiated rates may differ.</x:v>
      </x:c>
    </x:row>
    <x:row r="17" ht="76" customHeight="1">
      <x:c r="A17" s="64" t="str">
        <x:v>Marketplace</x:v>
      </x:c>
      <x:c r="B17" s="64" t="str">
        <x:v>Amazon India</x:v>
      </x:c>
      <x:c r="C17" s="64" t="str">
        <x:v>https://sell.amazon.in/fees-and-pricing</x:v>
      </x:c>
      <x:c r="D17" s="64" t="str">
        <x:v>Books referral at &gt;INR250–500 is 2%; additional fees apply.</x:v>
      </x:c>
      <x:c r="E17" s="64" t="str">
        <x:v>All-in model fee is an assumption, not the referral percentage.</x:v>
      </x:c>
    </x:row>
    <x:row r="18" ht="76" customHeight="1">
      <x:c r="A18" s="64" t="str">
        <x:v>Book post eligibility</x:v>
      </x:c>
      <x:c r="B18" s="64" t="str">
        <x:v>India Post</x:v>
      </x:c>
      <x:c r="C18" s="64" t="str">
        <x:v>https://www.indiapost.gov.in/mailproducts/domesticservices/gyanpost</x:v>
      </x:c>
      <x:c r="D18" s="64" t="str">
        <x:v>Gyan Post eligibility and conditions.</x:v>
      </x:c>
      <x:c r="E18" s="64" t="str">
        <x:v>Obtain written eligibility for the exact marketed book/insert/pack.</x:v>
      </x:c>
    </x:row>
    <x:row r="19" ht="76" customHeight="1">
      <x:c r="A19" s="64" t="str">
        <x:v>Postal tariffs</x:v>
      </x:c>
      <x:c r="B19" s="64" t="str">
        <x:v>India Post</x:v>
      </x:c>
      <x:c r="C19" s="64" t="str">
        <x:v>https://www.indiapost.gov.in/mailproducts/domesticservices/domestictariff</x:v>
      </x:c>
      <x:c r="D19" s="64" t="str">
        <x:v>Published Gyan Post slabs when eligible.</x:v>
      </x:c>
      <x:c r="E19" s="64" t="str">
        <x:v>Weigh actual packed SKU; no all-India exam-date delivery guarantee.</x:v>
      </x:c>
    </x:row>
    <x:row r="20" ht="76" customHeight="1">
      <x:c r="A20" s="64" t="str">
        <x:v>Print-price reality check</x:v>
      </x:c>
      <x:c r="B20" s="64" t="str">
        <x:v>Printer</x:v>
      </x:c>
      <x:c r="C20" s="64" t="str">
        <x:v>https://www.bulkprintouts.com/book-printing.html</x:v>
      </x:c>
      <x:c r="D20" s="64" t="str">
        <x:v>Public short-run print and binding prices; different from ExamLeaf offset specification.</x:v>
      </x:c>
      <x:c r="E20" s="64" t="str">
        <x:v>Not an ExamLeaf quote; none of the modeled unit costs are represented as quoted.</x:v>
      </x:c>
    </x:row>
    <x:row r="21" ht="76" customHeight="1">
      <x:c r="A21" s="64" t="str">
        <x:v>Video delivery</x:v>
      </x:c>
      <x:c r="B21" s="64" t="str">
        <x:v>Cloudflare</x:v>
      </x:c>
      <x:c r="C21" s="64" t="str">
        <x:v>https://developers.cloudflare.com/stream/pricing/</x:v>
      </x:c>
      <x:c r="D21" s="64" t="str">
        <x:v>USD1/1,000 delivered minutes; USD5/1,000 stored-minute capacity.</x:v>
      </x:c>
      <x:c r="E21" s="64" t="str">
        <x:v>Model adds planning FX/tax and full-edition usage reserve.</x:v>
      </x:c>
    </x:row>
    <x:row r="22" ht="76" customHeight="1">
      <x:c r="A22" s="64" t="str">
        <x:v>Video access control</x:v>
      </x:c>
      <x:c r="B22" s="64" t="str">
        <x:v>Cloudflare docs</x:v>
      </x:c>
      <x:c r="C22" s="64" t="str">
        <x:v>https://developers.cloudflare.com/stream/viewing-videos/securing-your-stream/</x:v>
      </x:c>
      <x:c r="D22" s="64" t="str">
        <x:v>Signed tokens and origin restrictions.</x:v>
      </x:c>
      <x:c r="E22" s="64" t="str">
        <x:v>Access control reduces casual sharing; does not prevent screen recording.</x:v>
      </x:c>
    </x:row>
    <x:row r="23" ht="76" customHeight="1">
      <x:c r="A23" s="64" t="str">
        <x:v>Commerce</x:v>
      </x:c>
      <x:c r="B23" s="64" t="str">
        <x:v>WooCommerce</x:v>
      </x:c>
      <x:c r="C23" s="64" t="str">
        <x:v>https://woocommerce.com/woocommerce/</x:v>
      </x:c>
      <x:c r="D23" s="64" t="str">
        <x:v>Open-source commerce and integration capabilities.</x:v>
      </x:c>
      <x:c r="E23" s="64" t="str">
        <x:v>Hosting, plugins and developer upkeep are not free.</x:v>
      </x:c>
    </x:row>
    <x:row r="24" ht="76" customHeight="1">
      <x:c r="A24" s="64" t="str">
        <x:v>Fulfillment API</x:v>
      </x:c>
      <x:c r="B24" s="64" t="str">
        <x:v>Shiprocket</x:v>
      </x:c>
      <x:c r="C24" s="64" t="str">
        <x:v>https://apidocs.shiprocket.in/</x:v>
      </x:c>
      <x:c r="D24" s="64" t="str">
        <x:v>Official API documentation endpoint.</x:v>
      </x:c>
      <x:c r="E24" s="64" t="str">
        <x:v>Obtain serviceable-pincode, weight, fee and COD/RTO account quotes.</x:v>
      </x:c>
    </x:row>
    <x:row r="25" ht="76" customHeight="1">
      <x:c r="A25" s="64" t="str">
        <x:v>GST current notification</x:v>
      </x:c>
      <x:c r="B25" s="64" t="str">
        <x:v>Ministry of Finance / PIB</x:v>
      </x:c>
      <x:c r="C25" s="64" t="str">
        <x:v>https://www.pib.gov.in/PressReleasePage.aspx?PRID=2168426</x:v>
      </x:c>
      <x:c r="D25" s="64" t="str">
        <x:v>2025 rate/exemption notifications supersede older goods-rate notifications.</x:v>
      </x:c>
      <x:c r="E25" s="64" t="str">
        <x:v>Review current 10/2025 notification and later amendments with a CA.</x:v>
      </x:c>
    </x:row>
    <x:row r="26" ht="76" customHeight="1">
      <x:c r="A26" s="64" t="str">
        <x:v>GST bundle classification</x:v>
      </x:c>
      <x:c r="B26" s="64" t="str">
        <x:v>GST Council / NACIN</x:v>
      </x:c>
      <x:c r="C26" s="64" t="str">
        <x:v>https://gstcouncil.gov.in/sites/default/files/e-version-gst-flyers/Composite%20supply%20%26%20Mixed%20Supply-050819.pdf</x:v>
      </x:c>
      <x:c r="D26" s="64" t="str">
        <x:v>Principal-supply versus mixed-supply logic.</x:v>
      </x:c>
      <x:c r="E26" s="64" t="str">
        <x:v>No automatic nil-rate assumption for a valuable book/video package.</x:v>
      </x:c>
    </x:row>
    <x:row r="27" ht="76" customHeight="1">
      <x:c r="A27" s="64" t="str">
        <x:v>DPDP rules</x:v>
      </x:c>
      <x:c r="B27" s="64" t="str">
        <x:v>MeitY / Gazette</x:v>
      </x:c>
      <x:c r="C27" s="64" t="str">
        <x:v>https://www.meity.gov.in/static/uploads/2025/11/53450e6e5dc0bfa85ebd78686cadad39.pdf</x:v>
      </x:c>
      <x:c r="D27" s="64" t="str">
        <x:v>Phased commencement; verifiable parental consent and limited exceptions.</x:v>
      </x:c>
      <x:c r="E27" s="64" t="str">
        <x:v>Legal review of ExamLeaf status; do not assume an institutional exemption.</x:v>
      </x:c>
    </x:row>
    <x:row r="28" ht="76" customHeight="1">
      <x:c r="A28" s="64" t="str">
        <x:v>DPDP Act</x:v>
      </x:c>
      <x:c r="B28" s="64" t="str">
        <x:v>MeitY</x:v>
      </x:c>
      <x:c r="C28" s="64" t="str">
        <x:v>https://www.meity.gov.in/static/uploads/2024/06/2bf1f0e9f04e6fb4f8fef35e82c42aa5.pdf</x:v>
      </x:c>
      <x:c r="D28" s="64" t="str">
        <x:v>Children and targeted-advertising/behavioural-monitoring provisions.</x:v>
      </x:c>
      <x:c r="E28" s="64" t="str">
        <x:v>Track commencement notifications; build privacy-preserving defaults now.</x:v>
      </x:c>
    </x:row>
    <x:row r="29" ht="76" customHeight="1">
      <x:c r="A29" s="64" t="str">
        <x:v>Education advertising</x:v>
      </x:c>
      <x:c r="B29" s="64" t="str">
        <x:v>CCPA / PIB</x:v>
      </x:c>
      <x:c r="C29" s="64" t="str">
        <x:v>https://www.pib.gov.in/PressReleaseIframePage.aspx?PRID=2073013&amp;lang=2&amp;reg=48</x:v>
      </x:c>
      <x:c r="D29" s="64" t="str">
        <x:v>No misleading educational guarantees, false urgency or deceptive success stories.</x:v>
      </x:c>
      <x:c r="E29" s="64" t="str">
        <x:v>Scope and detailed compliance to be reviewed for books plus instruction.</x:v>
      </x:c>
    </x:row>
    <x:row r="30" ht="76" customHeight="1">
      <x:c r="A30" s="64" t="str">
        <x:v>Retrieval learning</x:v>
      </x:c>
      <x:c r="B30" s="64" t="str">
        <x:v>Meta-analysis</x:v>
      </x:c>
      <x:c r="C30" s="64" t="str">
        <x:v>https://pubmed.ncbi.nlm.nih.gov/33683913/</x:v>
      </x:c>
      <x:c r="D30" s="64" t="str">
        <x:v>Testing/quizzing supports classroom learning on average.</x:v>
      </x:c>
      <x:c r="E30" s="64" t="str">
        <x:v>Not a promise of a given ExamLeaf score improvement.</x:v>
      </x:c>
    </x:row>
    <x:row r="31" ht="76" customHeight="1">
      <x:c r="A31" s="64" t="str">
        <x:v>Confidence vs learning</x:v>
      </x:c>
      <x:c r="B31" s="64" t="str">
        <x:v>Primary experiment</x:v>
      </x:c>
      <x:c r="C31" s="64" t="str">
        <x:v>https://www.pnas.org/doi/10.1073/pnas.1821936116</x:v>
      </x:c>
      <x:c r="D31" s="64" t="str">
        <x:v>Feeling of learning can diverge from measured learning.</x:v>
      </x:c>
      <x:c r="E31" s="64" t="str">
        <x:v>University context; not a direct ExamLeaf business conversion study.</x:v>
      </x:c>
    </x:row>
    <x:row r="32" ht="76" customHeight="1">
      <x:c r="A32" s="64" t="str">
        <x:v>Market size</x:v>
      </x:c>
      <x:c r="B32" s="64" t="str">
        <x:v>Planning limitation</x:v>
      </x:c>
      <x:c r="C32" s="64" t="str">
        <x:v>https://asseb.in/</x:v>
      </x:c>
      <x:c r="D32" s="64" t="str">
        <x:v>Use official class/stream/medium/district counts before a large production order.</x:v>
      </x:c>
      <x:c r="E32" s="64" t="str">
        <x:v>Exact 2026 participation figures were not reconciled to an official result census.</x:v>
      </x:c>
    </x:row>
    <x:row r="33" ht="76" customHeight="1">
      <x:c r="A33" s="64" t="str">
        <x:v>Model costs and conversions</x:v>
      </x:c>
      <x:c r="B33" s="64" t="str">
        <x:v>ExamLeaf planning assumptions</x:v>
      </x:c>
      <x:c r="C33" s="64" t="str">
        <x:v>Not an external source</x:v>
      </x:c>
      <x:c r="D33" s="64" t="str">
        <x:v>Printing, shipping, CAC, sell-through, salaries, conversions and production workloads are estimates.</x:v>
      </x:c>
      <x:c r="E33" s="64" t="str">
        <x:v>Replace with quotes and observed cohort data. No virality or demand forecast claimed.</x:v>
      </x:c>
    </x:row>
    <x:row r="34" ht="76" customHeight="1">
      <x:c r="A34" s="64"/>
      <x:c r="B34" s="64"/>
      <x:c r="C34" s="64"/>
      <x:c r="D34" s="64"/>
      <x:c r="E34" s="64"/>
    </x:row>
    <x:row r="35" ht="76" customHeight="1">
      <x:c r="A35" s="64"/>
      <x:c r="B35" s="64"/>
      <x:c r="C35" s="64"/>
      <x:c r="D35" s="64"/>
      <x:c r="E35" s="64"/>
    </x:row>
  </x:sheetData>
  <x:mergeCells>
    <x:mergeCell ref="A1:E1"/>
  </x:mergeCells>
  <x:pageMargins left="0.7" right="0.7" top="0.75" bottom="0.75" header="0.3" footer="0.3"/>
</x:worksheet>
</file>