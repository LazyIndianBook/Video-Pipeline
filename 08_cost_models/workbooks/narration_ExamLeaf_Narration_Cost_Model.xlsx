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be636fe12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e48a0f313042cb"/>
    <x:sheet xmlns:r="http://schemas.openxmlformats.org/officeDocument/2006/relationships" name="Inputs" sheetId="2" r:id="R6a3250c462e14365"/>
    <x:sheet xmlns:r="http://schemas.openxmlformats.org/officeDocument/2006/relationships" name="Methods" sheetId="3" r:id="Ra3ba45c381ac41bc"/>
    <x:sheet xmlns:r="http://schemas.openxmlformats.org/officeDocument/2006/relationships" name="Provider Tariffs" sheetId="4" r:id="R9b2cdf9419bf4fbe"/>
    <x:sheet xmlns:r="http://schemas.openxmlformats.org/officeDocument/2006/relationships" name="Skills" sheetId="5" r:id="Re5a953e4a5f34539"/>
    <x:sheet xmlns:r="http://schemas.openxmlformats.org/officeDocument/2006/relationships" name="Sources" sheetId="6" r:id="R0c2cf39051bb4589"/>
  </x:sheets>
</x:workbook>
</file>

<file path=xl/comments1.xml><?xml version="1.0" encoding="utf-8"?>
<x:comments xmlns:x="http://schemas.openxmlformats.org/spreadsheetml/2006/main">
  <x:authors>
    <x:author>tc={A2D47EBE-523C-4DED-B249-BEC4F30EA244}</x:author>
    <x:author>tc={1A9D7BD8-7741-4FD3-ABD9-F032161E14E4}</x:author>
    <x:author>tc={233E13AC-C40D-4225-BB1C-106745EFE0C6}</x:author>
    <x:author>tc={A97068DA-E007-40FF-89EE-2157D397D51E}</x:author>
    <x:author>tc={B0B3ABEC-22F0-4BFE-91DC-63D0A41EE534}</x:author>
    <x:author>tc={D74E74F6-DC90-4C21-AE24-0428EF32F6AA}</x:author>
    <x:author>tc={1428064D-3594-4202-9AE8-1F503F94E12C}</x:author>
    <x:author>tc={59476063-256F-4DA3-880B-3CD62BD73A66}</x:author>
    <x:author>tc={B1300EE2-3F78-453D-87B8-8F8D8D326721}</x:author>
    <x:author>tc={DD6F01C1-EED0-4514-BE79-314212873002}</x:author>
    <x:author>tc={259EC3C6-DBCA-471B-92BE-AE534D7D20D6}</x:author>
    <x:author>tc={830F1382-46A2-42AB-B469-820BF96D13CD}</x:author>
    <x:author>tc={44D887B1-D295-4508-8E65-D22DAB6585AA}</x:author>
    <x:author>tc={BFEB22C9-8E73-4698-9024-6675280FEAD8}</x:author>
    <x:author>tc={2A1FF3C8-972A-48EC-96DD-8F5B7FD6B789}</x:author>
    <x:author>tc={E1750133-6AEF-430F-A600-F86161587627}</x:author>
    <x:author>tc={6E8FA19F-E96E-455E-A1C1-57CAA31ABC3D}</x:author>
    <x:author>tc={35B58AE6-F747-4795-B791-FB900E6AA1B1}</x:author>
    <x:author>tc={169E2209-DE28-4A08-8ABD-0BC7C35C898F}</x:author>
    <x:author>tc={69E719B8-22E6-4C40-9B4A-E883C8B82B30}</x:author>
    <x:author>tc={B5E58BF4-F51E-4EA0-9CF3-D048DF21D0C7}</x:author>
    <x:author>tc={22D4EEFF-CFED-48A7-A09B-A870FFCCC9D2}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Not all media time is spoken.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Narration-only cost basis; response windows are inserted locally.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Pacing varies with complexity and language.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Count actual final provider input in deployment.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Extra generated audio, not a guarantee of acceptance.</x:t>
        </x:r>
      </x:text>
    </x:comment>
    <x:comment ref="B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https://elevenlabs.io/pricing/api
Checked: 13 October 2026.
v2/v3 published reference used for budget; NOT a verified Eleven v4 quote.</x:t>
        </x:r>
      </x:text>
    </x:comment>
    <x:comment ref="B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https://elevenlabs.io/pricing/api
Checked: 13 October 2026.
Confirm selected account/model; reference usage price.</x:t>
        </x:r>
      </x:text>
    </x:comment>
    <x:comment ref="B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Incremental narration editing/direction only; not whole academic research.</x:t>
        </x:r>
      </x:text>
    </x:comment>
    <x:comment ref="B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Service/compute budget, not a provider price guarantee.</x:t>
        </x:r>
      </x:text>
    </x:comment>
    <x:comment ref="B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Excludes audience streaming and indefinite storage.</x:t>
        </x:r>
      </x:text>
    </x:comment>
    <x:comment ref="B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Obtain actual native subject-reviewer quotations.</x:t>
        </x:r>
      </x:text>
    </x:comment>
    <x:comment ref="B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Labour assumption, not a market survey.</x:t>
        </x:r>
      </x:text>
    </x:comment>
    <x:comment ref="B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Illustrative; licensing/buyout fees require a separate agreement.</x:t>
        </x:r>
      </x:text>
    </x:comment>
    <x:comment ref="B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No GPU benchmark or supplier quote obtained.</x:t>
        </x:r>
      </x:text>
    </x:comment>
    <x:comment ref="B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Unbenchmarked; 2 means slower than real time.</x:t>
        </x:r>
      </x:text>
    </x:comment>
    <x:comment ref="B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Optional separate initial implementation reserve; not in operating totals.</x:t>
        </x:r>
      </x:text>
    </x:comment>
    <x:comment ref="B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Planning assumption
Checked: 13 October 2026.
Includes direction; actual billed token count governs.</x:t>
        </x:r>
      </x:text>
    </x:comment>
    <x:comment ref="B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https://ai.google.dev/gemini-api/docs/pricing
Checked: 13 October 2026.
Model pricing calculation convention; verify usage records.</x:t>
        </x:r>
      </x:text>
    </x:comment>
    <x:comment ref="B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https://ai.google.dev/gemini-api/docs/pricing
Checked: 13 October 2026.
Before scheduled 2027-01-01 rate change.</x:t>
        </x:r>
      </x:text>
    </x:comment>
    <x:comment ref="B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https://ai.google.dev/gemini-api/docs/pricing
Checked: 13 October 2026.
Before scheduled 2027-01-01 rate change.</x:t>
        </x:r>
      </x:text>
    </x:comment>
    <x:comment ref="B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https://ai.google.dev/gemini-api/docs/pricing
Checked: 13 October 2026.
Scheduled from 2027-01-01; recheck before use.</x:t>
        </x:r>
      </x:text>
    </x:comment>
    <x:comment ref="B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https://ai.google.dev/gemini-api/docs/pricing
Checked: 13 October 2026.
Scheduled from 2027-01-01; recheck before use.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$#,##0.00;[Red]($#,##0.00);&quot;-&quot;"/>
    <x:numFmt numFmtId="203" formatCode="#,##0.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526074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  <x:font>
      <x:sz val="10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087986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6" fillId="0" borderId="0" xfId="0" applyNumberFormat="1" applyFont="1" applyFill="1" applyBorder="1"/>
    <x:xf numFmtId="202" fontId="3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1" xfId="0" applyNumberFormat="1" applyFont="1" applyFill="1" applyBorder="1"/>
    <x:xf numFmtId="202" fontId="3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6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fa0b8e5e749ec" /><Relationship Type="http://schemas.openxmlformats.org/officeDocument/2006/relationships/theme" Target="/xl/theme/theme1.xml" Id="R3d06a8a84b5b4ddf" /><Relationship Type="http://schemas.openxmlformats.org/officeDocument/2006/relationships/sharedStrings" Target="/xl/sharedStrings.xml" Id="Rd8b4951aa2454085" /><Relationship Type="http://schemas.openxmlformats.org/officeDocument/2006/relationships/worksheet" Target="/xl/worksheets/sheet1.xml" Id="Rf0e48a0f313042cb" /><Relationship Type="http://schemas.openxmlformats.org/officeDocument/2006/relationships/worksheet" Target="/xl/worksheets/sheet2.xml" Id="R6a3250c462e14365" /><Relationship Type="http://schemas.openxmlformats.org/officeDocument/2006/relationships/worksheet" Target="/xl/worksheets/sheet3.xml" Id="Ra3ba45c381ac41bc" /><Relationship Type="http://schemas.openxmlformats.org/officeDocument/2006/relationships/worksheet" Target="/xl/worksheets/sheet4.xml" Id="R9b2cdf9419bf4fbe" /><Relationship Type="http://schemas.openxmlformats.org/officeDocument/2006/relationships/worksheet" Target="/xl/worksheets/sheet5.xml" Id="Re5a953e4a5f34539" /><Relationship Type="http://schemas.openxmlformats.org/officeDocument/2006/relationships/worksheet" Target="/xl/worksheets/sheet6.xml" Id="R0c2cf39051bb4589" /><Relationship Type="http://schemas.microsoft.com/office/2017/10/relationships/person" Target="/xl/persons/person.xml" Id="Reb4e9e0373024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c5f504c96d44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cost by volume — USD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1 video</c:v>
          </c:tx>
          <c:cat>
            <c:strRef>
              <c:f>'Summary'!$A$6:$A$10</c:f>
              <c:strCache>
                <c:ptCount val="0"/>
              </c:strCache>
            </c:strRef>
          </c:cat>
          <c:val>
            <c:numRef>
              <c:f>'Summary'!$B$6:$B$10</c:f>
              <c:numCache>
                <c:formatCode>$#,##0.00;[Red]($#,##0.00);"-"</c:formatCode>
                <c:ptCount val="0"/>
              </c:numCache>
            </c:numRef>
          </c:val>
        </c:ser>
        <c:ser>
          <c:idx val="1"/>
          <c:order val="1"/>
          <c:tx>
            <c:v>100 videos</c:v>
          </c:tx>
          <c:cat>
            <c:strRef>
              <c:f>'Summary'!$A$6:$A$10</c:f>
              <c:strCache>
                <c:ptCount val="0"/>
              </c:strCache>
            </c:strRef>
          </c:cat>
          <c:val>
            <c:numRef>
              <c:f>'Summary'!$C$6:$C$10</c:f>
              <c:numCache>
                <c:formatCode>$#,##0.00;[Red]($#,##0.00);"-"</c:formatCode>
                <c:ptCount val="0"/>
              </c:numCache>
            </c:numRef>
          </c:val>
        </c:ser>
        <c:ser>
          <c:idx val="2"/>
          <c:order val="2"/>
          <c:tx>
            <c:v>1,000 videos</c:v>
          </c:tx>
          <c:cat>
            <c:strRef>
              <c:f>'Summary'!$A$6:$A$10</c:f>
              <c:strCache>
                <c:ptCount val="0"/>
              </c:strCache>
            </c:strRef>
          </c:cat>
          <c:val>
            <c:numRef>
              <c:f>'Summary'!$D$6:$D$10</c:f>
              <c:numCache>
                <c:formatCode>$#,##0.00;[Red]($#,##0.00);"-"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c5f504c96d44e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xamLeaf planning" id="{24141B6E-015A-41AC-ADEE-380A3A848BF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10-13T16:50:39.372" personId="{24141B6E-015A-41AC-ADEE-380A3A848BFF}" id="{A2D47EBE-523C-4DED-B249-BEC4F30EA244}">
    <xltc:text>Source: Planning assumption
Checked: 13 October 2026.
Not all media time is spoken.</xltc:text>
  </xltc:threadedComment>
  <xltc:threadedComment ref="B7" dT="2026-10-13T16:50:39.373" personId="{24141B6E-015A-41AC-ADEE-380A3A848BFF}" id="{1A9D7BD8-7741-4FD3-ABD9-F032161E14E4}">
    <xltc:text>Source: Planning assumption
Checked: 13 October 2026.
Narration-only cost basis; response windows are inserted locally.</xltc:text>
  </xltc:threadedComment>
  <xltc:threadedComment ref="B8" dT="2026-10-13T16:50:39.373" personId="{24141B6E-015A-41AC-ADEE-380A3A848BFF}" id="{233E13AC-C40D-4225-BB1C-106745EFE0C6}">
    <xltc:text>Source: Planning assumption
Checked: 13 October 2026.
Pacing varies with complexity and language.</xltc:text>
  </xltc:threadedComment>
  <xltc:threadedComment ref="B9" dT="2026-10-13T16:50:39.373" personId="{24141B6E-015A-41AC-ADEE-380A3A848BFF}" id="{A97068DA-E007-40FF-89EE-2157D397D51E}">
    <xltc:text>Source: Planning assumption
Checked: 13 October 2026.
Count actual final provider input in deployment.</xltc:text>
  </xltc:threadedComment>
  <xltc:threadedComment ref="B10" dT="2026-10-13T16:50:39.373" personId="{24141B6E-015A-41AC-ADEE-380A3A848BFF}" id="{B0B3ABEC-22F0-4BFE-91DC-63D0A41EE534}">
    <xltc:text>Source: Planning assumption
Checked: 13 October 2026.
Extra generated audio, not a guarantee of acceptance.</xltc:text>
  </xltc:threadedComment>
  <xltc:threadedComment ref="B11" dT="2026-10-13T16:50:39.373" personId="{24141B6E-015A-41AC-ADEE-380A3A848BFF}" id="{D74E74F6-DC90-4C21-AE24-0428EF32F6AA}">
    <xltc:text>Source: https://elevenlabs.io/pricing/api
Checked: 13 October 2026.
v2/v3 published reference used for budget; NOT a verified Eleven v4 quote.</xltc:text>
  </xltc:threadedComment>
  <xltc:threadedComment ref="B12" dT="2026-10-13T16:50:39.373" personId="{24141B6E-015A-41AC-ADEE-380A3A848BFF}" id="{1428064D-3594-4202-9AE8-1F503F94E12C}">
    <xltc:text>Source: https://elevenlabs.io/pricing/api
Checked: 13 October 2026.
Confirm selected account/model; reference usage price.</xltc:text>
  </xltc:threadedComment>
  <xltc:threadedComment ref="B13" dT="2026-10-13T16:50:39.373" personId="{24141B6E-015A-41AC-ADEE-380A3A848BFF}" id="{59476063-256F-4DA3-880B-3CD62BD73A66}">
    <xltc:text>Source: Planning assumption
Checked: 13 October 2026.
Incremental narration editing/direction only; not whole academic research.</xltc:text>
  </xltc:threadedComment>
  <xltc:threadedComment ref="B14" dT="2026-10-13T16:50:39.373" personId="{24141B6E-015A-41AC-ADEE-380A3A848BFF}" id="{B1300EE2-3F78-453D-87B8-8F8D8D326721}">
    <xltc:text>Source: Planning assumption
Checked: 13 October 2026.
Service/compute budget, not a provider price guarantee.</xltc:text>
  </xltc:threadedComment>
  <xltc:threadedComment ref="B15" dT="2026-10-13T16:50:39.373" personId="{24141B6E-015A-41AC-ADEE-380A3A848BFF}" id="{DD6F01C1-EED0-4514-BE79-314212873002}">
    <xltc:text>Source: Planning assumption
Checked: 13 October 2026.
Excludes audience streaming and indefinite storage.</xltc:text>
  </xltc:threadedComment>
  <xltc:threadedComment ref="B16" dT="2026-10-13T16:50:39.373" personId="{24141B6E-015A-41AC-ADEE-380A3A848BFF}" id="{259EC3C6-DBCA-471B-92BE-AE534D7D20D6}">
    <xltc:text>Source: Planning assumption
Checked: 13 October 2026.
Obtain actual native subject-reviewer quotations.</xltc:text>
  </xltc:threadedComment>
  <xltc:threadedComment ref="B17" dT="2026-10-13T16:50:39.373" personId="{24141B6E-015A-41AC-ADEE-380A3A848BFF}" id="{830F1382-46A2-42AB-B469-820BF96D13CD}">
    <xltc:text>Source: Planning assumption
Checked: 13 October 2026.
Labour assumption, not a market survey.</xltc:text>
  </xltc:threadedComment>
  <xltc:threadedComment ref="B18" dT="2026-10-13T16:50:39.373" personId="{24141B6E-015A-41AC-ADEE-380A3A848BFF}" id="{44D887B1-D295-4508-8E65-D22DAB6585AA}">
    <xltc:text>Source: Planning assumption
Checked: 13 October 2026.
Illustrative; licensing/buyout fees require a separate agreement.</xltc:text>
  </xltc:threadedComment>
  <xltc:threadedComment ref="B19" dT="2026-10-13T16:50:39.373" personId="{24141B6E-015A-41AC-ADEE-380A3A848BFF}" id="{BFEB22C9-8E73-4698-9024-6675280FEAD8}">
    <xltc:text>Source: Planning assumption
Checked: 13 October 2026.
No GPU benchmark or supplier quote obtained.</xltc:text>
  </xltc:threadedComment>
  <xltc:threadedComment ref="B20" dT="2026-10-13T16:50:39.373" personId="{24141B6E-015A-41AC-ADEE-380A3A848BFF}" id="{2A1FF3C8-972A-48EC-96DD-8F5B7FD6B789}">
    <xltc:text>Source: Planning assumption
Checked: 13 October 2026.
Unbenchmarked; 2 means slower than real time.</xltc:text>
  </xltc:threadedComment>
  <xltc:threadedComment ref="B21" dT="2026-10-13T16:50:39.373" personId="{24141B6E-015A-41AC-ADEE-380A3A848BFF}" id="{E1750133-6AEF-430F-A600-F86161587627}">
    <xltc:text>Source: Planning assumption
Checked: 13 October 2026.
Optional separate initial implementation reserve; not in operating totals.</xltc:text>
  </xltc:threadedComment>
  <xltc:threadedComment ref="B22" dT="2026-10-13T16:50:39.373" personId="{24141B6E-015A-41AC-ADEE-380A3A848BFF}" id="{6E8FA19F-E96E-455E-A1C1-57CAA31ABC3D}">
    <xltc:text>Source: Planning assumption
Checked: 13 October 2026.
Includes direction; actual billed token count governs.</xltc:text>
  </xltc:threadedComment>
  <xltc:threadedComment ref="B23" dT="2026-10-13T16:50:39.373" personId="{24141B6E-015A-41AC-ADEE-380A3A848BFF}" id="{35B58AE6-F747-4795-B791-FB900E6AA1B1}">
    <xltc:text>Source: https://ai.google.dev/gemini-api/docs/pricing
Checked: 13 October 2026.
Model pricing calculation convention; verify usage records.</xltc:text>
  </xltc:threadedComment>
  <xltc:threadedComment ref="B24" dT="2026-10-13T16:50:39.373" personId="{24141B6E-015A-41AC-ADEE-380A3A848BFF}" id="{169E2209-DE28-4A08-8ABD-0BC7C35C898F}">
    <xltc:text>Source: https://ai.google.dev/gemini-api/docs/pricing
Checked: 13 October 2026.
Before scheduled 2027-01-01 rate change.</xltc:text>
  </xltc:threadedComment>
  <xltc:threadedComment ref="B25" dT="2026-10-13T16:50:39.373" personId="{24141B6E-015A-41AC-ADEE-380A3A848BFF}" id="{69E719B8-22E6-4C40-9B4A-E883C8B82B30}">
    <xltc:text>Source: https://ai.google.dev/gemini-api/docs/pricing
Checked: 13 October 2026.
Before scheduled 2027-01-01 rate change.</xltc:text>
  </xltc:threadedComment>
  <xltc:threadedComment ref="B26" dT="2026-10-13T16:50:39.373" personId="{24141B6E-015A-41AC-ADEE-380A3A848BFF}" id="{B5E58BF4-F51E-4EA0-9CF3-D048DF21D0C7}">
    <xltc:text>Source: https://ai.google.dev/gemini-api/docs/pricing
Checked: 13 October 2026.
Scheduled from 2027-01-01; recheck before use.</xltc:text>
  </xltc:threadedComment>
  <xltc:threadedComment ref="B27" dT="2026-10-13T16:50:39.373" personId="{24141B6E-015A-41AC-ADEE-380A3A848BFF}" id="{22D4EEFF-CFED-48A7-A09B-A870FFCCC9D2}">
    <xltc:text>Source: https://ai.google.dev/gemini-api/docs/pricing
Checked: 13 October 2026.
Scheduled from 2027-01-01; recheck before use.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0bf8af439649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fba464ffdd8457f" /><Relationship Type="http://schemas.openxmlformats.org/officeDocument/2006/relationships/vmlDrawing" Target="/xl/drawings/vmldrawing.vml" Id="R314e433129f54304" /><Relationship Type="http://schemas.microsoft.com/office/2017/10/relationships/threadedComment" Target="/xl/threadedcomments/threadedcomment.xml" Id="Rb822cc49e689418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54" t="str">
        <x:v>ExamLeaf narration economics</x:v>
      </x:c>
      <x:c r="B1" s="54"/>
      <x:c r="C1" s="54"/>
      <x:c r="D1" s="54"/>
      <x:c r="E1" s="54"/>
      <x:c r="F1" s="54"/>
      <x:c r="G1" s="54"/>
    </x:row>
    <x:row r="2" ht="24" customHeight="1">
      <x:c r="A2" s="55" t="str">
        <x:v>Operating cost, USD before tax | SAME one-month accounting window for 1 / 100 / 1,000 videos. Narration subsystem only; not whole-video production.</x:v>
      </x:c>
      <x:c r="B2" s="55"/>
      <x:c r="C2" s="55"/>
      <x:c r="D2" s="55"/>
      <x:c r="E2" s="55"/>
      <x:c r="F2" s="55"/>
      <x:c r="G2" s="55"/>
    </x:row>
    <x:row r="3" ht="24" customHeight="1">
      <x:c r="A3" s="55"/>
      <x:c r="B3" s="55"/>
      <x:c r="C3" s="55"/>
      <x:c r="D3" s="55"/>
      <x:c r="E3" s="55"/>
      <x:c r="F3" s="55"/>
      <x:c r="G3" s="55"/>
    </x:row>
    <x:row r="4" ht="22" customHeight="1">
      <x:c r="A4" s="56"/>
      <x:c r="B4" s="56"/>
      <x:c r="C4" s="56"/>
      <x:c r="D4" s="56"/>
      <x:c r="E4" s="56"/>
      <x:c r="F4" s="56"/>
      <x:c r="G4" s="56"/>
    </x:row>
    <x:row r="5" ht="32" customHeight="1">
      <x:c r="A5" s="57" t="str">
        <x:v>Method</x:v>
      </x:c>
      <x:c r="B5" s="57" t="str">
        <x:v>1 video</x:v>
      </x:c>
      <x:c r="C5" s="57" t="str">
        <x:v>100 videos</x:v>
      </x:c>
      <x:c r="D5" s="57" t="str">
        <x:v>1,000 videos</x:v>
      </x:c>
      <x:c r="E5" s="57" t="str">
        <x:v>Variable / video</x:v>
      </x:c>
      <x:c r="F5" s="57" t="str">
        <x:v>Monthly fixed</x:v>
      </x:c>
      <x:c r="G5" s="57" t="str">
        <x:v>Hours at 1,000</x:v>
      </x:c>
    </x:row>
    <x:row r="6" ht="47" customHeight="1">
      <x:c r="A6" s="58" t="str">
        <x:f>Methods!A6</x:f>
        <x:v>Premium commercial TTS</x:v>
      </x:c>
      <x:c r="B6" s="59" t="n">
        <x:f>Methods!K6+Methods!H6</x:f>
        <x:v>112.49933333333334</x:v>
      </x:c>
      <x:c r="C6" s="59" t="n">
        <x:f>Methods!K6*100+Methods!H6</x:f>
        <x:v>1349.9333333333334</x:v>
      </x:c>
      <x:c r="D6" s="59" t="n">
        <x:f>Methods!K6*1000+Methods!H6</x:f>
        <x:v>12599.333333333334</x:v>
      </x:c>
      <x:c r="E6" s="59" t="n">
        <x:f>Methods!K6</x:f>
        <x:v>12.499333333333334</x:v>
      </x:c>
      <x:c r="F6" s="59" t="n">
        <x:f>Methods!H6</x:f>
        <x:v>100</x:v>
      </x:c>
      <x:c r="G6" s="60" t="n">
        <x:f>Methods!L6*1000/60</x:f>
        <x:v>583.3333333333334</x:v>
      </x:c>
    </x:row>
    <x:row r="7" ht="47" customHeight="1">
      <x:c r="A7" s="58" t="str">
        <x:f>Methods!A7</x:f>
        <x:v>Primarily self-hosted</x:v>
      </x:c>
      <x:c r="B7" s="59" t="n">
        <x:f>Methods!K7+Methods!H7</x:f>
        <x:v>314.752</x:v>
      </x:c>
      <x:c r="C7" s="59" t="n">
        <x:f>Methods!K7*100+Methods!H7</x:f>
        <x:v>1775.2</x:v>
      </x:c>
      <x:c r="D7" s="59" t="n">
        <x:f>Methods!K7*1000+Methods!H7</x:f>
        <x:v>15052</x:v>
      </x:c>
      <x:c r="E7" s="59" t="n">
        <x:f>Methods!K7</x:f>
        <x:v>14.752</x:v>
      </x:c>
      <x:c r="F7" s="59" t="n">
        <x:f>Methods!H7</x:f>
        <x:v>300</x:v>
      </x:c>
      <x:c r="G7" s="60" t="n">
        <x:f>Methods!L7*1000/60</x:f>
        <x:v>750</x:v>
      </x:c>
    </x:row>
    <x:row r="8" ht="47" customHeight="1">
      <x:c r="A8" s="58" t="str">
        <x:f>Methods!A8</x:f>
        <x:v>Human recorded</x:v>
      </x:c>
      <x:c r="B8" s="59" t="n">
        <x:f>Methods!K8+Methods!H8</x:f>
        <x:v>142.39666666666665</x:v>
      </x:c>
      <x:c r="C8" s="59" t="n">
        <x:f>Methods!K8*100+Methods!H8</x:f>
        <x:v>4339.666666666666</x:v>
      </x:c>
      <x:c r="D8" s="59" t="n">
        <x:f>Methods!K8*1000+Methods!H8</x:f>
        <x:v>42496.666666666664</x:v>
      </x:c>
      <x:c r="E8" s="59" t="n">
        <x:f>Methods!K8</x:f>
        <x:v>42.39666666666666</x:v>
      </x:c>
      <x:c r="F8" s="59" t="n">
        <x:f>Methods!H8</x:f>
        <x:v>100</x:v>
      </x:c>
      <x:c r="G8" s="60" t="n">
        <x:f>Methods!L8*1000/60</x:f>
        <x:v>1666.6666666666667</x:v>
      </x:c>
    </x:row>
    <x:row r="9" ht="47" customHeight="1">
      <x:c r="A9" s="58" t="str">
        <x:f>Methods!A9</x:f>
        <x:v>Human performance + STS</x:v>
      </x:c>
      <x:c r="B9" s="59" t="n">
        <x:f>Methods!K9+Methods!H9</x:f>
        <x:v>159.87066666666666</x:v>
      </x:c>
      <x:c r="C9" s="59" t="n">
        <x:f>Methods!K9*100+Methods!H9</x:f>
        <x:v>3612.0666666666666</x:v>
      </x:c>
      <x:c r="D9" s="59" t="n">
        <x:f>Methods!K9*1000+Methods!H9</x:f>
        <x:v>34995.666666666664</x:v>
      </x:c>
      <x:c r="E9" s="59" t="n">
        <x:f>Methods!K9</x:f>
        <x:v>34.870666666666665</x:v>
      </x:c>
      <x:c r="F9" s="59" t="n">
        <x:f>Methods!H9</x:f>
        <x:v>125</x:v>
      </x:c>
      <x:c r="G9" s="60" t="n">
        <x:f>Methods!L9*1000/60</x:f>
        <x:v>1333.3333333333333</x:v>
      </x:c>
    </x:row>
    <x:row r="10" ht="47" customHeight="1">
      <x:c r="A10" s="58" t="str">
        <x:f>Methods!A10</x:f>
        <x:v>Hybrid: 80% TTS / 20% performed</x:v>
      </x:c>
      <x:c r="B10" s="59" t="n">
        <x:f>Methods!K10+Methods!H10</x:f>
        <x:v>167.05693333333335</x:v>
      </x:c>
      <x:c r="C10" s="59" t="n">
        <x:f>Methods!K10*100+Methods!H10</x:f>
        <x:v>1855.6933333333334</x:v>
      </x:c>
      <x:c r="D10" s="59" t="n">
        <x:f>Methods!K10*1000+Methods!H10</x:f>
        <x:v>17206.933333333334</x:v>
      </x:c>
      <x:c r="E10" s="59" t="n">
        <x:f>Methods!K10</x:f>
        <x:v>17.056933333333333</x:v>
      </x:c>
      <x:c r="F10" s="59" t="n">
        <x:f>Methods!H10</x:f>
        <x:v>150</x:v>
      </x:c>
      <x:c r="G10" s="60" t="n">
        <x:f>Methods!L10*1000/60</x:f>
        <x:v>733.3333333333334</x:v>
      </x:c>
    </x:row>
    <x:row r="11" ht="22" customHeight="1">
      <x:c r="A11" s="56"/>
      <x:c r="B11" s="56"/>
      <x:c r="C11" s="56"/>
      <x:c r="D11" s="56"/>
      <x:c r="E11" s="56"/>
      <x:c r="F11" s="56"/>
      <x:c r="G11" s="56"/>
    </x:row>
    <x:row r="12" ht="22" customHeight="1">
      <x:c r="A12" s="56"/>
      <x:c r="B12" s="56"/>
      <x:c r="C12" s="56"/>
      <x:c r="D12" s="56"/>
      <x:c r="E12" s="56"/>
      <x:c r="F12" s="56"/>
      <x:c r="G12" s="56"/>
    </x:row>
    <x:row r="13" ht="36" customHeight="1">
      <x:c r="A13" s="61" t="str">
        <x:v>Add initial subsystem setup separately</x:v>
      </x:c>
      <x:c r="B13" s="62" t="n">
        <x:f>Inputs!$B$21</x:f>
        <x:v>4000</x:v>
      </x:c>
      <x:c r="C13" s="61"/>
      <x:c r="D13" s="61"/>
      <x:c r="E13" s="61"/>
      <x:c r="F13" s="61"/>
      <x:c r="G13" s="61"/>
    </x:row>
    <x:row r="14" ht="36" customHeight="1">
      <x:c r="A14" s="61" t="str">
        <x:v>Premium / 1,000 including initial setup</x:v>
      </x:c>
      <x:c r="B14" s="62" t="n">
        <x:f>D6+Inputs!$B$21</x:f>
        <x:v>16599.333333333336</x:v>
      </x:c>
      <x:c r="C14" s="61"/>
      <x:c r="D14" s="61"/>
      <x:c r="E14" s="61"/>
      <x:c r="F14" s="61"/>
      <x:c r="G14" s="61"/>
    </x:row>
    <x:row r="15" ht="36" customHeight="1">
      <x:c r="A15" s="61" t="str">
        <x:v>Premium / 1,000 with review time doubled</x:v>
      </x:c>
      <x:c r="B15" s="62" t="n">
        <x:f>D6+Methods!E6/60*Inputs!$B$16*1000</x:f>
        <x:v>20932.666666666668</x:v>
      </x:c>
      <x:c r="C15" s="61"/>
      <x:c r="D15" s="61"/>
      <x:c r="E15" s="61"/>
      <x:c r="F15" s="61"/>
      <x:c r="G15" s="61"/>
    </x:row>
    <x:row r="16" ht="36" customHeight="1">
      <x:c r="A16" s="61" t="str">
        <x:v>All variants</x:v>
      </x:c>
      <x:c r="B16" s="61" t="str">
        <x:v>Assumptions, not vendor quotes, controlled provider benchmarks, or guaranteed quality equivalence.</x:v>
      </x:c>
      <x:c r="C16" s="61"/>
      <x:c r="D16" s="61"/>
      <x:c r="E16" s="61"/>
      <x:c r="F16" s="61"/>
      <x:c r="G16" s="61"/>
    </x:row>
    <x:row r="17" ht="36" customHeight="1">
      <x:c r="A17" s="61" t="str">
        <x:v>Accounting</x:v>
      </x:c>
      <x:c r="B17" s="61" t="str">
        <x:v>Do not add these audio-review costs twice if already included in your full video-production budget.</x:v>
      </x:c>
      <x:c r="C17" s="61"/>
      <x:c r="D17" s="61"/>
      <x:c r="E17" s="61"/>
      <x:c r="F17" s="61"/>
      <x:c r="G17" s="61"/>
    </x:row>
    <x:row r="18" ht="36" customHeight="1">
      <x:c r="A18" s="61" t="str">
        <x:v>Excluded</x:v>
      </x:c>
      <x:c r="B18" s="61" t="str">
        <x:v>Tax, voice buyouts, extended licensing, audience streaming, full animation, broad academic research and extra localization.</x:v>
      </x:c>
      <x:c r="C18" s="61"/>
      <x:c r="D18" s="61"/>
      <x:c r="E18" s="61"/>
      <x:c r="F18" s="61"/>
      <x:c r="G18" s="61"/>
    </x:row>
    <x:row r="19" ht="36" customHeight="1">
      <x:c r="A19" s="61" t="str">
        <x:v>Scaling</x:v>
      </x:c>
      <x:c r="B19" s="61" t="str">
        <x:v>One locale/version per case. A second language requires new performance, QA and timeline verification.</x:v>
      </x:c>
      <x:c r="C19" s="61"/>
      <x:c r="D19" s="61"/>
      <x:c r="E19" s="61"/>
      <x:c r="F19" s="61"/>
      <x:c r="G19" s="61"/>
    </x:row>
    <x:row r="20" ht="22" customHeight="1">
      <x:c r="A20" s="56"/>
      <x:c r="B20" s="56"/>
      <x:c r="C20" s="56"/>
      <x:c r="D20" s="56"/>
      <x:c r="E20" s="56"/>
      <x:c r="F20" s="56"/>
      <x:c r="G20" s="56"/>
    </x:row>
    <x:row r="21" ht="22" customHeight="1">
      <x:c r="A21" s="56"/>
      <x:c r="B21" s="56"/>
      <x:c r="C21" s="56"/>
      <x:c r="D21" s="56"/>
      <x:c r="E21" s="56"/>
      <x:c r="F21" s="56"/>
      <x:c r="G21" s="56"/>
    </x:row>
    <x:row r="22" ht="22" customHeight="1">
      <x:c r="A22" s="56"/>
      <x:c r="B22" s="56"/>
      <x:c r="C22" s="56"/>
      <x:c r="D22" s="56"/>
      <x:c r="E22" s="56"/>
      <x:c r="F22" s="56"/>
      <x:c r="G22" s="56"/>
    </x:row>
    <x:row r="23" ht="22" customHeight="1">
      <x:c r="A23" s="56"/>
      <x:c r="B23" s="56"/>
      <x:c r="C23" s="56"/>
      <x:c r="D23" s="56"/>
      <x:c r="E23" s="56"/>
      <x:c r="F23" s="56"/>
      <x:c r="G23" s="56"/>
    </x:row>
    <x:row r="24" ht="22" customHeight="1">
      <x:c r="A24" s="56"/>
      <x:c r="B24" s="56"/>
      <x:c r="C24" s="56"/>
      <x:c r="D24" s="56"/>
      <x:c r="E24" s="56"/>
      <x:c r="F24" s="56"/>
      <x:c r="G24" s="56"/>
    </x:row>
    <x:row r="25" ht="22" customHeight="1">
      <x:c r="A25" s="56"/>
      <x:c r="B25" s="56"/>
      <x:c r="C25" s="56"/>
      <x:c r="D25" s="56"/>
      <x:c r="E25" s="56"/>
      <x:c r="F25" s="56"/>
      <x:c r="G25" s="56"/>
    </x:row>
    <x:row r="26" ht="22" customHeight="1">
      <x:c r="A26" s="56"/>
      <x:c r="B26" s="56"/>
      <x:c r="C26" s="56"/>
      <x:c r="D26" s="56"/>
      <x:c r="E26" s="56"/>
      <x:c r="F26" s="56"/>
      <x:c r="G26" s="56"/>
    </x:row>
    <x:row r="27" ht="22" customHeight="1">
      <x:c r="A27" s="56"/>
      <x:c r="B27" s="56"/>
      <x:c r="C27" s="56"/>
      <x:c r="D27" s="56"/>
      <x:c r="E27" s="56"/>
      <x:c r="F27" s="56"/>
      <x:c r="G27" s="56"/>
    </x:row>
    <x:row r="28" ht="22" customHeight="1">
      <x:c r="A28" s="56"/>
      <x:c r="B28" s="56"/>
      <x:c r="C28" s="56"/>
      <x:c r="D28" s="56"/>
      <x:c r="E28" s="56"/>
      <x:c r="F28" s="56"/>
      <x:c r="G28" s="56"/>
    </x:row>
    <x:row r="29" ht="22" customHeight="1">
      <x:c r="A29" s="56"/>
      <x:c r="B29" s="56"/>
      <x:c r="C29" s="56"/>
      <x:c r="D29" s="56"/>
      <x:c r="E29" s="56"/>
      <x:c r="F29" s="56"/>
      <x:c r="G29" s="56"/>
    </x:row>
    <x:row r="30" ht="22" customHeight="1">
      <x:c r="A30" s="56"/>
      <x:c r="B30" s="56"/>
      <x:c r="C30" s="56"/>
      <x:c r="D30" s="56"/>
      <x:c r="E30" s="56"/>
      <x:c r="F30" s="56"/>
      <x:c r="G30" s="56"/>
    </x:row>
    <x:row r="31" ht="22" customHeight="1">
      <x:c r="A31" s="56"/>
      <x:c r="B31" s="56"/>
      <x:c r="C31" s="56"/>
      <x:c r="D31" s="56"/>
      <x:c r="E31" s="56"/>
      <x:c r="F31" s="56"/>
      <x:c r="G31" s="56"/>
    </x:row>
    <x:row r="32" ht="22" customHeight="1">
      <x:c r="A32" s="56"/>
      <x:c r="B32" s="56"/>
      <x:c r="C32" s="56"/>
      <x:c r="D32" s="56"/>
      <x:c r="E32" s="56"/>
      <x:c r="F32" s="56"/>
      <x:c r="G32" s="56"/>
    </x:row>
    <x:row r="33" ht="22" customHeight="1">
      <x:c r="A33" s="56"/>
      <x:c r="B33" s="56"/>
      <x:c r="C33" s="56"/>
      <x:c r="D33" s="56"/>
      <x:c r="E33" s="56"/>
      <x:c r="F33" s="56"/>
      <x:c r="G33" s="56"/>
    </x:row>
    <x:row r="34" ht="22" customHeight="1">
      <x:c r="A34" s="56"/>
      <x:c r="B34" s="56"/>
      <x:c r="C34" s="56"/>
      <x:c r="D34" s="56"/>
      <x:c r="E34" s="56"/>
      <x:c r="F34" s="56"/>
      <x:c r="G34" s="56"/>
    </x:row>
    <x:row r="35" ht="22" customHeight="1">
      <x:c r="A35" s="56"/>
      <x:c r="B35" s="56"/>
      <x:c r="C35" s="56"/>
      <x:c r="D35" s="56"/>
      <x:c r="E35" s="56"/>
      <x:c r="F35" s="56"/>
      <x:c r="G35" s="56"/>
    </x:row>
    <x:row r="36" ht="22" customHeight="1">
      <x:c r="A36" s="56"/>
      <x:c r="B36" s="56"/>
      <x:c r="C36" s="56"/>
      <x:c r="D36" s="56"/>
      <x:c r="E36" s="56"/>
      <x:c r="F36" s="56"/>
      <x:c r="G36" s="56"/>
    </x:row>
    <x:row r="37" ht="22" customHeight="1">
      <x:c r="A37" s="56"/>
      <x:c r="B37" s="56"/>
      <x:c r="C37" s="56"/>
      <x:c r="D37" s="56"/>
      <x:c r="E37" s="56"/>
      <x:c r="F37" s="56"/>
      <x:c r="G37" s="56"/>
    </x:row>
    <x:row r="38" ht="22" customHeight="1">
      <x:c r="A38" s="56"/>
      <x:c r="B38" s="56"/>
      <x:c r="C38" s="56"/>
      <x:c r="D38" s="56"/>
      <x:c r="E38" s="56"/>
      <x:c r="F38" s="56"/>
      <x:c r="G38" s="56"/>
    </x:row>
    <x:row r="39" ht="22" customHeight="1">
      <x:c r="A39" s="56"/>
      <x:c r="B39" s="56"/>
      <x:c r="C39" s="56"/>
      <x:c r="D39" s="56"/>
      <x:c r="E39" s="56"/>
      <x:c r="F39" s="56"/>
      <x:c r="G39" s="56"/>
    </x:row>
    <x:row r="40" ht="22" customHeight="1">
      <x:c r="A40" s="56"/>
      <x:c r="B40" s="56"/>
      <x:c r="C40" s="56"/>
      <x:c r="D40" s="56"/>
      <x:c r="E40" s="56"/>
      <x:c r="F40" s="56"/>
      <x:c r="G40" s="56"/>
    </x:row>
    <x:row r="41" ht="22" customHeight="1">
      <x:c r="A41" s="56"/>
      <x:c r="B41" s="56"/>
      <x:c r="C41" s="56"/>
      <x:c r="D41" s="56"/>
      <x:c r="E41" s="56"/>
      <x:c r="F41" s="56"/>
      <x:c r="G41" s="56"/>
    </x:row>
    <x:row r="42" ht="22" customHeight="1">
      <x:c r="A42" s="56"/>
      <x:c r="B42" s="56"/>
      <x:c r="C42" s="56"/>
      <x:c r="D42" s="56"/>
      <x:c r="E42" s="56"/>
      <x:c r="F42" s="56"/>
      <x:c r="G42" s="56"/>
    </x:row>
    <x:row r="43" ht="22" customHeight="1">
      <x:c r="A43" s="56"/>
      <x:c r="B43" s="56"/>
      <x:c r="C43" s="56"/>
      <x:c r="D43" s="56"/>
      <x:c r="E43" s="56"/>
      <x:c r="F43" s="56"/>
      <x:c r="G43" s="56"/>
    </x:row>
    <x:row r="44" ht="22" customHeight="1">
      <x:c r="A44" s="56"/>
      <x:c r="B44" s="56"/>
      <x:c r="C44" s="56"/>
      <x:c r="D44" s="56"/>
      <x:c r="E44" s="56"/>
      <x:c r="F44" s="56"/>
      <x:c r="G44" s="56"/>
    </x:row>
    <x:row r="45" ht="22" customHeight="1">
      <x:c r="A45" s="56"/>
      <x:c r="B45" s="56"/>
      <x:c r="C45" s="56"/>
      <x:c r="D45" s="56"/>
      <x:c r="E45" s="56"/>
      <x:c r="F45" s="56"/>
      <x:c r="G45" s="56"/>
    </x:row>
    <x:row r="46" ht="22" customHeight="1">
      <x:c r="A46" s="56"/>
      <x:c r="B46" s="56"/>
      <x:c r="C46" s="56"/>
      <x:c r="D46" s="56"/>
      <x:c r="E46" s="56"/>
      <x:c r="F46" s="56"/>
      <x:c r="G46" s="56"/>
    </x:row>
    <x:row r="47" ht="22" customHeight="1">
      <x:c r="A47" s="56"/>
      <x:c r="B47" s="56"/>
      <x:c r="C47" s="56"/>
      <x:c r="D47" s="56"/>
      <x:c r="E47" s="56"/>
      <x:c r="F47" s="56"/>
      <x:c r="G47" s="56"/>
    </x:row>
    <x:row r="48" ht="22" customHeight="1">
      <x:c r="A48" s="56"/>
      <x:c r="B48" s="56"/>
      <x:c r="C48" s="56"/>
      <x:c r="D48" s="56"/>
      <x:c r="E48" s="56"/>
      <x:c r="F48" s="56"/>
      <x:c r="G48" s="56"/>
    </x:row>
    <x:row r="49" ht="22" customHeight="1">
      <x:c r="A49" s="56"/>
      <x:c r="B49" s="56"/>
      <x:c r="C49" s="56"/>
      <x:c r="D49" s="56"/>
      <x:c r="E49" s="56"/>
      <x:c r="F49" s="56"/>
      <x:c r="G49" s="56"/>
    </x:row>
    <x:row r="50" ht="22" customHeight="1">
      <x:c r="A50" s="56"/>
      <x:c r="B50" s="56"/>
      <x:c r="C50" s="56"/>
      <x:c r="D50" s="56"/>
      <x:c r="E50" s="56"/>
      <x:c r="F50" s="56"/>
      <x:c r="G50" s="56"/>
    </x:row>
    <x:row r="51" ht="22" customHeight="1">
      <x:c r="A51" s="56"/>
      <x:c r="B51" s="56"/>
      <x:c r="C51" s="56"/>
      <x:c r="D51" s="56"/>
      <x:c r="E51" s="56"/>
      <x:c r="F51" s="56"/>
      <x:c r="G51" s="56"/>
    </x:row>
    <x:row r="52" ht="22" customHeight="1">
      <x:c r="A52" s="56"/>
      <x:c r="B52" s="56"/>
      <x:c r="C52" s="56"/>
      <x:c r="D52" s="56"/>
      <x:c r="E52" s="56"/>
      <x:c r="F52" s="56"/>
      <x:c r="G52" s="56"/>
    </x:row>
    <x:row r="53" ht="22" customHeight="1">
      <x:c r="A53" s="56"/>
      <x:c r="B53" s="56"/>
      <x:c r="C53" s="56"/>
      <x:c r="D53" s="56"/>
      <x:c r="E53" s="56"/>
      <x:c r="F53" s="56"/>
      <x:c r="G53" s="56"/>
    </x:row>
    <x:row r="54" ht="22" customHeight="1">
      <x:c r="A54" s="56"/>
      <x:c r="B54" s="56"/>
      <x:c r="C54" s="56"/>
      <x:c r="D54" s="56"/>
      <x:c r="E54" s="56"/>
      <x:c r="F54" s="56"/>
      <x:c r="G54" s="56"/>
    </x:row>
    <x:row r="55" ht="22" customHeight="1">
      <x:c r="A55" s="56"/>
      <x:c r="B55" s="56"/>
      <x:c r="C55" s="56"/>
      <x:c r="D55" s="56"/>
      <x:c r="E55" s="56"/>
      <x:c r="F55" s="56"/>
      <x:c r="G55" s="56"/>
    </x:row>
    <x:row r="56" ht="22" customHeight="1">
      <x:c r="A56" s="56"/>
      <x:c r="B56" s="56"/>
      <x:c r="C56" s="56"/>
      <x:c r="D56" s="56"/>
      <x:c r="E56" s="56"/>
      <x:c r="F56" s="56"/>
      <x:c r="G56" s="56"/>
    </x:row>
    <x:row r="57" ht="22" customHeight="1">
      <x:c r="A57" s="56"/>
      <x:c r="B57" s="56"/>
      <x:c r="C57" s="56"/>
      <x:c r="D57" s="56"/>
      <x:c r="E57" s="56"/>
      <x:c r="F57" s="56"/>
      <x:c r="G57" s="56"/>
    </x:row>
    <x:row r="58" ht="22" customHeight="1">
      <x:c r="A58" s="56"/>
      <x:c r="B58" s="56"/>
      <x:c r="C58" s="56"/>
      <x:c r="D58" s="56"/>
      <x:c r="E58" s="56"/>
      <x:c r="F58" s="56"/>
      <x:c r="G58" s="56"/>
    </x:row>
    <x:row r="59" ht="22" customHeight="1">
      <x:c r="A59" s="56"/>
      <x:c r="B59" s="56"/>
      <x:c r="C59" s="56"/>
      <x:c r="D59" s="56"/>
      <x:c r="E59" s="56"/>
      <x:c r="F59" s="56"/>
      <x:c r="G59" s="56"/>
    </x:row>
    <x:row r="60" ht="22" customHeight="1">
      <x:c r="A60" s="56"/>
      <x:c r="B60" s="56"/>
      <x:c r="C60" s="56"/>
      <x:c r="D60" s="56"/>
      <x:c r="E60" s="56"/>
      <x:c r="F60" s="56"/>
      <x:c r="G60" s="56"/>
    </x:row>
  </x:sheetData>
  <x:mergeCells>
    <x:mergeCell ref="A1:G1"/>
    <x:mergeCell ref="A2:G3"/>
    <x:mergeCell ref="B16:G16"/>
    <x:mergeCell ref="B17:G17"/>
    <x:mergeCell ref="B18:G18"/>
    <x:mergeCell ref="B19:G19"/>
  </x:mergeCells>
  <x:pageMargins left="0.7" right="0.7" top="0.75" bottom="0.75" header="0.3" footer="0.3"/>
  <x:drawing xmlns:r="http://schemas.openxmlformats.org/officeDocument/2006/relationships" r:id="Re90bf8af439649bc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4" hidden="0" customWidth="1"/>
    <x:col min="3" max="3" width="27" hidden="0" customWidth="1"/>
    <x:col min="4" max="4" width="40" hidden="0" customWidth="1"/>
    <x:col min="5" max="5" width="40" hidden="0" customWidth="1"/>
  </x:cols>
  <x:sheetData>
    <x:row r="1" ht="34" customHeight="1">
      <x:c r="A1" s="54" t="str">
        <x:v>Narration assumptions</x:v>
      </x:c>
      <x:c r="B1" s="54"/>
      <x:c r="C1" s="54"/>
      <x:c r="D1" s="54"/>
      <x:c r="E1" s="54"/>
    </x:row>
    <x:row r="2" ht="24" customHeight="1">
      <x:c r="A2" s="55" t="str">
        <x:v>USD, before tax | Editable inputs in blue. Reference tariffs and workload assumptions are explicitly separate. Checked 13 October 2026.</x:v>
      </x:c>
      <x:c r="B2" s="55"/>
      <x:c r="C2" s="55"/>
      <x:c r="D2" s="55"/>
      <x:c r="E2" s="55"/>
    </x:row>
    <x:row r="3" ht="24" customHeight="1">
      <x:c r="A3" s="55"/>
      <x:c r="B3" s="55"/>
      <x:c r="C3" s="55"/>
      <x:c r="D3" s="55"/>
      <x:c r="E3" s="55"/>
    </x:row>
    <x:row r="4" ht="22" customHeight="1">
      <x:c r="A4" s="56"/>
      <x:c r="B4" s="56"/>
      <x:c r="C4" s="56"/>
      <x:c r="D4" s="56"/>
      <x:c r="E4" s="56"/>
    </x:row>
    <x:row r="5" ht="32" customHeight="1">
      <x:c r="A5" s="57" t="str">
        <x:v>Assumption</x:v>
      </x:c>
      <x:c r="B5" s="57" t="str">
        <x:v>Value</x:v>
      </x:c>
      <x:c r="C5" s="57" t="str">
        <x:v>Unit</x:v>
      </x:c>
      <x:c r="D5" s="57" t="str">
        <x:v>Source</x:v>
      </x:c>
      <x:c r="E5" s="57" t="str">
        <x:v>Caution</x:v>
      </x:c>
    </x:row>
    <x:row r="6" ht="51" customHeight="1">
      <x:c r="A6" s="61" t="str">
        <x:v>Media duration</x:v>
      </x:c>
      <x:c r="B6" s="72" t="n">
        <x:v>10</x:v>
      </x:c>
      <x:c r="C6" s="61" t="str">
        <x:v>minutes</x:v>
      </x:c>
      <x:c r="D6" s="61" t="str">
        <x:v>Planning assumption</x:v>
      </x:c>
      <x:c r="E6" s="61" t="str">
        <x:v>Not all media time is spoken.</x:v>
      </x:c>
    </x:row>
    <x:row r="7" ht="51" customHeight="1">
      <x:c r="A7" s="61" t="str">
        <x:v>Active spoken duration</x:v>
      </x:c>
      <x:c r="B7" s="72" t="n">
        <x:v>8.5</x:v>
      </x:c>
      <x:c r="C7" s="61" t="str">
        <x:v>minutes</x:v>
      </x:c>
      <x:c r="D7" s="61" t="str">
        <x:v>Planning assumption</x:v>
      </x:c>
      <x:c r="E7" s="61" t="str">
        <x:v>Narration-only cost basis; response windows are inserted locally.</x:v>
      </x:c>
    </x:row>
    <x:row r="8" ht="51" customHeight="1">
      <x:c r="A8" s="61" t="str">
        <x:v>Spoken word budget</x:v>
      </x:c>
      <x:c r="B8" s="72" t="n">
        <x:v>1200</x:v>
      </x:c>
      <x:c r="C8" s="61" t="str">
        <x:v>words</x:v>
      </x:c>
      <x:c r="D8" s="61" t="str">
        <x:v>Planning assumption</x:v>
      </x:c>
      <x:c r="E8" s="61" t="str">
        <x:v>Pacing varies with complexity and language.</x:v>
      </x:c>
    </x:row>
    <x:row r="9" ht="51" customHeight="1">
      <x:c r="A9" s="61" t="str">
        <x:v>Canonical transcript length</x:v>
      </x:c>
      <x:c r="B9" s="72" t="n">
        <x:v>7800</x:v>
      </x:c>
      <x:c r="C9" s="61" t="str">
        <x:v>characters</x:v>
      </x:c>
      <x:c r="D9" s="61" t="str">
        <x:v>Planning assumption</x:v>
      </x:c>
      <x:c r="E9" s="61" t="str">
        <x:v>Count actual final provider input in deployment.</x:v>
      </x:c>
    </x:row>
    <x:row r="10" ht="51" customHeight="1">
      <x:c r="A10" s="61" t="str">
        <x:v>Generation/retry allowance</x:v>
      </x:c>
      <x:c r="B10" s="73" t="n">
        <x:v>0.2</x:v>
      </x:c>
      <x:c r="C10" s="61" t="str">
        <x:v>fraction</x:v>
      </x:c>
      <x:c r="D10" s="61" t="str">
        <x:v>Planning assumption</x:v>
      </x:c>
      <x:c r="E10" s="61" t="str">
        <x:v>Extra generated audio, not a guarantee of acceptance.</x:v>
      </x:c>
    </x:row>
    <x:row r="11" ht="51" customHeight="1">
      <x:c r="A11" s="61" t="str">
        <x:v>Premium TTS reference tariff</x:v>
      </x:c>
      <x:c r="B11" s="72" t="n">
        <x:v>0.1</x:v>
      </x:c>
      <x:c r="C11" s="61" t="str">
        <x:v>USD / 1,000 characters</x:v>
      </x:c>
      <x:c r="D11" s="61" t="str">
        <x:v>https://elevenlabs.io/pricing/api</x:v>
      </x:c>
      <x:c r="E11" s="61" t="str">
        <x:v>v2/v3 published reference used for budget; NOT a verified Eleven v4 quote.</x:v>
      </x:c>
    </x:row>
    <x:row r="12" ht="51" customHeight="1">
      <x:c r="A12" s="61" t="str">
        <x:v>Speech-to-speech tariff</x:v>
      </x:c>
      <x:c r="B12" s="72" t="n">
        <x:v>0.12</x:v>
      </x:c>
      <x:c r="C12" s="61" t="str">
        <x:v>USD / generated minute</x:v>
      </x:c>
      <x:c r="D12" s="61" t="str">
        <x:v>https://elevenlabs.io/pricing/api</x:v>
      </x:c>
      <x:c r="E12" s="61" t="str">
        <x:v>Confirm selected account/model; reference usage price.</x:v>
      </x:c>
    </x:row>
    <x:row r="13" ht="51" customHeight="1">
      <x:c r="A13" s="61" t="str">
        <x:v>LLM writing/direction allowance</x:v>
      </x:c>
      <x:c r="B13" s="72" t="n">
        <x:v>0.6</x:v>
      </x:c>
      <x:c r="C13" s="61" t="str">
        <x:v>USD / video</x:v>
      </x:c>
      <x:c r="D13" s="61" t="str">
        <x:v>Planning assumption</x:v>
      </x:c>
      <x:c r="E13" s="61" t="str">
        <x:v>Incremental narration editing/direction only; not whole academic research.</x:v>
      </x:c>
    </x:row>
    <x:row r="14" ht="51" customHeight="1">
      <x:c r="A14" s="61" t="str">
        <x:v>ASR/alignment/automatic QA allowance</x:v>
      </x:c>
      <x:c r="B14" s="72" t="n">
        <x:v>0.08</x:v>
      </x:c>
      <x:c r="C14" s="61" t="str">
        <x:v>USD / video</x:v>
      </x:c>
      <x:c r="D14" s="61" t="str">
        <x:v>Planning assumption</x:v>
      </x:c>
      <x:c r="E14" s="61" t="str">
        <x:v>Service/compute budget, not a provider price guarantee.</x:v>
      </x:c>
    </x:row>
    <x:row r="15" ht="51" customHeight="1">
      <x:c r="A15" s="61" t="str">
        <x:v>Storage/export allowance</x:v>
      </x:c>
      <x:c r="B15" s="72" t="n">
        <x:v>0.05</x:v>
      </x:c>
      <x:c r="C15" s="61" t="str">
        <x:v>USD / video</x:v>
      </x:c>
      <x:c r="D15" s="61" t="str">
        <x:v>Planning assumption</x:v>
      </x:c>
      <x:c r="E15" s="61" t="str">
        <x:v>Excludes audience streaming and indefinite storage.</x:v>
      </x:c>
    </x:row>
    <x:row r="16" ht="51" customHeight="1">
      <x:c r="A16" s="61" t="str">
        <x:v>Academic audio review rate</x:v>
      </x:c>
      <x:c r="B16" s="72" t="n">
        <x:v>20</x:v>
      </x:c>
      <x:c r="C16" s="61" t="str">
        <x:v>USD / hour</x:v>
      </x:c>
      <x:c r="D16" s="61" t="str">
        <x:v>Planning assumption</x:v>
      </x:c>
      <x:c r="E16" s="61" t="str">
        <x:v>Obtain actual native subject-reviewer quotations.</x:v>
      </x:c>
    </x:row>
    <x:row r="17" ht="51" customHeight="1">
      <x:c r="A17" s="61" t="str">
        <x:v>Audio editing rate</x:v>
      </x:c>
      <x:c r="B17" s="72" t="n">
        <x:v>15</x:v>
      </x:c>
      <x:c r="C17" s="61" t="str">
        <x:v>USD / hour</x:v>
      </x:c>
      <x:c r="D17" s="61" t="str">
        <x:v>Planning assumption</x:v>
      </x:c>
      <x:c r="E17" s="61" t="str">
        <x:v>Labour assumption, not a market survey.</x:v>
      </x:c>
    </x:row>
    <x:row r="18" ht="51" customHeight="1">
      <x:c r="A18" s="61" t="str">
        <x:v>Performer rate</x:v>
      </x:c>
      <x:c r="B18" s="72" t="n">
        <x:v>30</x:v>
      </x:c>
      <x:c r="C18" s="61" t="str">
        <x:v>USD / hour</x:v>
      </x:c>
      <x:c r="D18" s="61" t="str">
        <x:v>Planning assumption</x:v>
      </x:c>
      <x:c r="E18" s="61" t="str">
        <x:v>Illustrative; licensing/buyout fees require a separate agreement.</x:v>
      </x:c>
    </x:row>
    <x:row r="19" ht="51" customHeight="1">
      <x:c r="A19" s="61" t="str">
        <x:v>GPU price</x:v>
      </x:c>
      <x:c r="B19" s="72" t="n">
        <x:v>0.8</x:v>
      </x:c>
      <x:c r="C19" s="61" t="str">
        <x:v>USD / compute hour</x:v>
      </x:c>
      <x:c r="D19" s="61" t="str">
        <x:v>Planning assumption</x:v>
      </x:c>
      <x:c r="E19" s="61" t="str">
        <x:v>No GPU benchmark or supplier quote obtained.</x:v>
      </x:c>
    </x:row>
    <x:row r="20" ht="51" customHeight="1">
      <x:c r="A20" s="61" t="str">
        <x:v>GPU real-time factor</x:v>
      </x:c>
      <x:c r="B20" s="72" t="n">
        <x:v>2</x:v>
      </x:c>
      <x:c r="C20" s="61" t="str">
        <x:v>compute sec / generated sec</x:v>
      </x:c>
      <x:c r="D20" s="61" t="str">
        <x:v>Planning assumption</x:v>
      </x:c>
      <x:c r="E20" s="61" t="str">
        <x:v>Unbenchmarked; 2 means slower than real time.</x:v>
      </x:c>
    </x:row>
    <x:row r="21" ht="51" customHeight="1">
      <x:c r="A21" s="61" t="str">
        <x:v>Initial subsystem setup</x:v>
      </x:c>
      <x:c r="B21" s="72" t="n">
        <x:v>4000</x:v>
      </x:c>
      <x:c r="C21" s="61" t="str">
        <x:v>USD one-time</x:v>
      </x:c>
      <x:c r="D21" s="61" t="str">
        <x:v>Planning assumption</x:v>
      </x:c>
      <x:c r="E21" s="61" t="str">
        <x:v>Optional separate initial implementation reserve; not in operating totals.</x:v>
      </x:c>
    </x:row>
    <x:row r="22" ht="51" customHeight="1">
      <x:c r="A22" s="61" t="str">
        <x:v>Gemini input token estimate</x:v>
      </x:c>
      <x:c r="B22" s="72" t="n">
        <x:v>2500</x:v>
      </x:c>
      <x:c r="C22" s="61" t="str">
        <x:v>tokens / script</x:v>
      </x:c>
      <x:c r="D22" s="61" t="str">
        <x:v>Planning assumption</x:v>
      </x:c>
      <x:c r="E22" s="61" t="str">
        <x:v>Includes direction; actual billed token count governs.</x:v>
      </x:c>
    </x:row>
    <x:row r="23" ht="51" customHeight="1">
      <x:c r="A23" s="61" t="str">
        <x:v>Gemini audio tokens / sec</x:v>
      </x:c>
      <x:c r="B23" s="72" t="n">
        <x:v>25</x:v>
      </x:c>
      <x:c r="C23" s="61" t="str">
        <x:v>tokens / second</x:v>
      </x:c>
      <x:c r="D23" s="61" t="str">
        <x:v>https://ai.google.dev/gemini-api/docs/pricing</x:v>
      </x:c>
      <x:c r="E23" s="61" t="str">
        <x:v>Model pricing calculation convention; verify usage records.</x:v>
      </x:c>
    </x:row>
    <x:row r="24" ht="51" customHeight="1">
      <x:c r="A24" s="61" t="str">
        <x:v>Gemini 3.8 current input</x:v>
      </x:c>
      <x:c r="B24" s="72" t="n">
        <x:v>0.5</x:v>
      </x:c>
      <x:c r="C24" s="61" t="str">
        <x:v>USD / million input tokens</x:v>
      </x:c>
      <x:c r="D24" s="61" t="str">
        <x:v>https://ai.google.dev/gemini-api/docs/pricing</x:v>
      </x:c>
      <x:c r="E24" s="61" t="str">
        <x:v>Before scheduled 2027-01-01 rate change.</x:v>
      </x:c>
    </x:row>
    <x:row r="25" ht="51" customHeight="1">
      <x:c r="A25" s="61" t="str">
        <x:v>Gemini 3.8 current output</x:v>
      </x:c>
      <x:c r="B25" s="72" t="n">
        <x:v>9</x:v>
      </x:c>
      <x:c r="C25" s="61" t="str">
        <x:v>USD / million audio tokens</x:v>
      </x:c>
      <x:c r="D25" s="61" t="str">
        <x:v>https://ai.google.dev/gemini-api/docs/pricing</x:v>
      </x:c>
      <x:c r="E25" s="61" t="str">
        <x:v>Before scheduled 2027-01-01 rate change.</x:v>
      </x:c>
    </x:row>
    <x:row r="26" ht="51" customHeight="1">
      <x:c r="A26" s="61" t="str">
        <x:v>Gemini 3.8 future input</x:v>
      </x:c>
      <x:c r="B26" s="72" t="n">
        <x:v>1</x:v>
      </x:c>
      <x:c r="C26" s="61" t="str">
        <x:v>USD / million input tokens</x:v>
      </x:c>
      <x:c r="D26" s="61" t="str">
        <x:v>https://ai.google.dev/gemini-api/docs/pricing</x:v>
      </x:c>
      <x:c r="E26" s="61" t="str">
        <x:v>Scheduled from 2027-01-01; recheck before use.</x:v>
      </x:c>
    </x:row>
    <x:row r="27" ht="51" customHeight="1">
      <x:c r="A27" s="61" t="str">
        <x:v>Gemini 3.8 future output</x:v>
      </x:c>
      <x:c r="B27" s="72" t="n">
        <x:v>18</x:v>
      </x:c>
      <x:c r="C27" s="61" t="str">
        <x:v>USD / million audio tokens</x:v>
      </x:c>
      <x:c r="D27" s="61" t="str">
        <x:v>https://ai.google.dev/gemini-api/docs/pricing</x:v>
      </x:c>
      <x:c r="E27" s="61" t="str">
        <x:v>Scheduled from 2027-01-01; recheck before use.</x:v>
      </x:c>
    </x:row>
    <x:row r="28" ht="22" customHeight="1">
      <x:c r="A28" s="56"/>
      <x:c r="B28" s="56"/>
      <x:c r="C28" s="56"/>
      <x:c r="D28" s="56"/>
      <x:c r="E28" s="56"/>
    </x:row>
    <x:row r="29" ht="22" customHeight="1">
      <x:c r="A29" s="56"/>
      <x:c r="B29" s="56"/>
      <x:c r="C29" s="56"/>
      <x:c r="D29" s="56"/>
      <x:c r="E29" s="56"/>
    </x:row>
    <x:row r="30" ht="22" customHeight="1">
      <x:c r="A30" s="56"/>
      <x:c r="B30" s="56"/>
      <x:c r="C30" s="56"/>
      <x:c r="D30" s="56"/>
      <x:c r="E30" s="56"/>
    </x:row>
    <x:row r="31" ht="22" customHeight="1">
      <x:c r="A31" s="56"/>
      <x:c r="B31" s="56"/>
      <x:c r="C31" s="56"/>
      <x:c r="D31" s="56"/>
      <x:c r="E31" s="56"/>
    </x:row>
    <x:row r="32" ht="22" customHeight="1">
      <x:c r="A32" s="56"/>
      <x:c r="B32" s="56"/>
      <x:c r="C32" s="56"/>
      <x:c r="D32" s="56"/>
      <x:c r="E32" s="56"/>
    </x:row>
    <x:row r="33" ht="22" customHeight="1">
      <x:c r="A33" s="56"/>
      <x:c r="B33" s="56"/>
      <x:c r="C33" s="56"/>
      <x:c r="D33" s="56"/>
      <x:c r="E33" s="56"/>
    </x:row>
    <x:row r="34" ht="22" customHeight="1">
      <x:c r="A34" s="56"/>
      <x:c r="B34" s="56"/>
      <x:c r="C34" s="56"/>
      <x:c r="D34" s="56"/>
      <x:c r="E34" s="56"/>
    </x:row>
    <x:row r="35" ht="22" customHeight="1">
      <x:c r="A35" s="56"/>
      <x:c r="B35" s="56"/>
      <x:c r="C35" s="56"/>
      <x:c r="D35" s="56"/>
      <x:c r="E35" s="56"/>
    </x:row>
    <x:row r="36" ht="22" customHeight="1">
      <x:c r="A36" s="56"/>
      <x:c r="B36" s="56"/>
      <x:c r="C36" s="56"/>
      <x:c r="D36" s="56"/>
      <x:c r="E36" s="56"/>
    </x:row>
    <x:row r="37" ht="22" customHeight="1">
      <x:c r="A37" s="56"/>
      <x:c r="B37" s="56"/>
      <x:c r="C37" s="56"/>
      <x:c r="D37" s="56"/>
      <x:c r="E37" s="56"/>
    </x:row>
    <x:row r="38" ht="22" customHeight="1">
      <x:c r="A38" s="56"/>
      <x:c r="B38" s="56"/>
      <x:c r="C38" s="56"/>
      <x:c r="D38" s="56"/>
      <x:c r="E38" s="56"/>
    </x:row>
    <x:row r="39" ht="22" customHeight="1">
      <x:c r="A39" s="56"/>
      <x:c r="B39" s="56"/>
      <x:c r="C39" s="56"/>
      <x:c r="D39" s="56"/>
      <x:c r="E39" s="56"/>
    </x:row>
    <x:row r="40" ht="22" customHeight="1">
      <x:c r="A40" s="56"/>
      <x:c r="B40" s="56"/>
      <x:c r="C40" s="56"/>
      <x:c r="D40" s="56"/>
      <x:c r="E40" s="56"/>
    </x:row>
    <x:row r="41" ht="22" customHeight="1">
      <x:c r="A41" s="56"/>
      <x:c r="B41" s="56"/>
      <x:c r="C41" s="56"/>
      <x:c r="D41" s="56"/>
      <x:c r="E41" s="56"/>
    </x:row>
    <x:row r="42" ht="22" customHeight="1">
      <x:c r="A42" s="56"/>
      <x:c r="B42" s="56"/>
      <x:c r="C42" s="56"/>
      <x:c r="D42" s="56"/>
      <x:c r="E42" s="56"/>
    </x:row>
    <x:row r="43" ht="22" customHeight="1">
      <x:c r="A43" s="56"/>
      <x:c r="B43" s="56"/>
      <x:c r="C43" s="56"/>
      <x:c r="D43" s="56"/>
      <x:c r="E43" s="56"/>
    </x:row>
    <x:row r="44" ht="22" customHeight="1">
      <x:c r="A44" s="56"/>
      <x:c r="B44" s="56"/>
      <x:c r="C44" s="56"/>
      <x:c r="D44" s="56"/>
      <x:c r="E44" s="56"/>
    </x:row>
    <x:row r="45" ht="22" customHeight="1">
      <x:c r="A45" s="56"/>
      <x:c r="B45" s="56"/>
      <x:c r="C45" s="56"/>
      <x:c r="D45" s="56"/>
      <x:c r="E45" s="56"/>
    </x:row>
    <x:row r="46" ht="22" customHeight="1">
      <x:c r="A46" s="56"/>
      <x:c r="B46" s="56"/>
      <x:c r="C46" s="56"/>
      <x:c r="D46" s="56"/>
      <x:c r="E46" s="56"/>
    </x:row>
    <x:row r="47" ht="22" customHeight="1">
      <x:c r="A47" s="56"/>
      <x:c r="B47" s="56"/>
      <x:c r="C47" s="56"/>
      <x:c r="D47" s="56"/>
      <x:c r="E47" s="56"/>
    </x:row>
    <x:row r="48" ht="22" customHeight="1">
      <x:c r="A48" s="56"/>
      <x:c r="B48" s="56"/>
      <x:c r="C48" s="56"/>
      <x:c r="D48" s="56"/>
      <x:c r="E48" s="56"/>
    </x:row>
    <x:row r="49" ht="22" customHeight="1">
      <x:c r="A49" s="56"/>
      <x:c r="B49" s="56"/>
      <x:c r="C49" s="56"/>
      <x:c r="D49" s="56"/>
      <x:c r="E49" s="56"/>
    </x:row>
    <x:row r="50" ht="22" customHeight="1">
      <x:c r="A50" s="56"/>
      <x:c r="B50" s="56"/>
      <x:c r="C50" s="56"/>
      <x:c r="D50" s="56"/>
      <x:c r="E50" s="56"/>
    </x:row>
    <x:row r="51" ht="22" customHeight="1">
      <x:c r="A51" s="56"/>
      <x:c r="B51" s="56"/>
      <x:c r="C51" s="56"/>
      <x:c r="D51" s="56"/>
      <x:c r="E51" s="56"/>
    </x:row>
    <x:row r="52" ht="22" customHeight="1">
      <x:c r="A52" s="56"/>
      <x:c r="B52" s="56"/>
      <x:c r="C52" s="56"/>
      <x:c r="D52" s="56"/>
      <x:c r="E52" s="56"/>
    </x:row>
    <x:row r="53" ht="22" customHeight="1">
      <x:c r="A53" s="56"/>
      <x:c r="B53" s="56"/>
      <x:c r="C53" s="56"/>
      <x:c r="D53" s="56"/>
      <x:c r="E53" s="56"/>
    </x:row>
    <x:row r="54" ht="22" customHeight="1">
      <x:c r="A54" s="56"/>
      <x:c r="B54" s="56"/>
      <x:c r="C54" s="56"/>
      <x:c r="D54" s="56"/>
      <x:c r="E54" s="56"/>
    </x:row>
    <x:row r="55" ht="22" customHeight="1">
      <x:c r="A55" s="56"/>
      <x:c r="B55" s="56"/>
      <x:c r="C55" s="56"/>
      <x:c r="D55" s="56"/>
      <x:c r="E55" s="56"/>
    </x:row>
    <x:row r="56" ht="22" customHeight="1">
      <x:c r="A56" s="56"/>
      <x:c r="B56" s="56"/>
      <x:c r="C56" s="56"/>
      <x:c r="D56" s="56"/>
      <x:c r="E56" s="56"/>
    </x:row>
    <x:row r="57" ht="22" customHeight="1">
      <x:c r="A57" s="56"/>
      <x:c r="B57" s="56"/>
      <x:c r="C57" s="56"/>
      <x:c r="D57" s="56"/>
      <x:c r="E57" s="56"/>
    </x:row>
    <x:row r="58" ht="22" customHeight="1">
      <x:c r="A58" s="56"/>
      <x:c r="B58" s="56"/>
      <x:c r="C58" s="56"/>
      <x:c r="D58" s="56"/>
      <x:c r="E58" s="56"/>
    </x:row>
    <x:row r="59" ht="22" customHeight="1">
      <x:c r="A59" s="56"/>
      <x:c r="B59" s="56"/>
      <x:c r="C59" s="56"/>
      <x:c r="D59" s="56"/>
      <x:c r="E59" s="56"/>
    </x:row>
    <x:row r="60" ht="22" customHeight="1">
      <x:c r="A60" s="56"/>
      <x:c r="B60" s="56"/>
      <x:c r="C60" s="56"/>
      <x:c r="D60" s="56"/>
      <x:c r="E60" s="56"/>
    </x:row>
  </x:sheetData>
  <x:mergeCells>
    <x:mergeCell ref="A1:E1"/>
    <x:mergeCell ref="A2:E3"/>
  </x:mergeCells>
  <x:pageMargins left="0.7" right="0.7" top="0.75" bottom="0.75" header="0.3" footer="0.3"/>
  <x:legacyDrawing xmlns:r="http://schemas.openxmlformats.org/officeDocument/2006/relationships" r:id="R314e433129f54304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4" t="str">
        <x:v>Five narration production methods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 ht="24" customHeight="1">
      <x:c r="A2" s="55" t="str">
        <x:v>Operating assumptions for mature workflows. Novel STEM terms, native-language validation and first-use performances can require additional work.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3" ht="24" customHeight="1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 ht="22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</x:row>
    <x:row r="5" ht="32" customHeight="1">
      <x:c r="A5" s="57" t="str">
        <x:v>Method</x:v>
      </x:c>
      <x:c r="B5" s="57" t="str">
        <x:v>TTS fraction</x:v>
      </x:c>
      <x:c r="C5" s="57" t="str">
        <x:v>Record hours</x:v>
      </x:c>
      <x:c r="D5" s="57" t="str">
        <x:v>STS fraction</x:v>
      </x:c>
      <x:c r="E5" s="57" t="str">
        <x:v>Review min</x:v>
      </x:c>
      <x:c r="F5" s="57" t="str">
        <x:v>Edit min</x:v>
      </x:c>
      <x:c r="G5" s="57" t="str">
        <x:v>GPU flag</x:v>
      </x:c>
      <x:c r="H5" s="57" t="str">
        <x:v>Fixed / month</x:v>
      </x:c>
      <x:c r="I5" s="57" t="str">
        <x:v>Machine / video</x:v>
      </x:c>
      <x:c r="J5" s="57" t="str">
        <x:v>Human / video</x:v>
      </x:c>
      <x:c r="K5" s="57" t="str">
        <x:v>Variable / video</x:v>
      </x:c>
      <x:c r="L5" s="57" t="str">
        <x:v>Human min / video</x:v>
      </x:c>
    </x:row>
    <x:row r="6" ht="44" customHeight="1">
      <x:c r="A6" s="61" t="str">
        <x:v>Premium commercial TTS</x:v>
      </x:c>
      <x:c r="B6" s="72" t="n">
        <x:v>1</x:v>
      </x:c>
      <x:c r="C6" s="72" t="n">
        <x:v>0</x:v>
      </x:c>
      <x:c r="D6" s="72" t="n">
        <x:v>0</x:v>
      </x:c>
      <x:c r="E6" s="76" t="n">
        <x:v>25</x:v>
      </x:c>
      <x:c r="F6" s="76" t="n">
        <x:v>10</x:v>
      </x:c>
      <x:c r="G6" s="76" t="n">
        <x:v>0</x:v>
      </x:c>
      <x:c r="H6" s="77" t="n">
        <x:v>100</x:v>
      </x:c>
      <x:c r="I6" s="59" t="n">
        <x:f>(Inputs!$B$13+Inputs!$B$14+Inputs!$B$15)+B6*(Inputs!$B$9*(1+Inputs!$B$10)/1000*Inputs!$B$11)+D6*(Inputs!$B$7*(1+Inputs!$B$10)*Inputs!$B$12)+G6*(Inputs!$B$7*60*(1+Inputs!$B$10)*Inputs!$B$20/3600*Inputs!$B$19)</x:f>
        <x:v>1.666</x:v>
      </x:c>
      <x:c r="J6" s="59" t="n">
        <x:f>C6*Inputs!$B$18+E6/60*Inputs!$B$16+F6/60*Inputs!$B$17</x:f>
        <x:v>10.833333333333334</x:v>
      </x:c>
      <x:c r="K6" s="62" t="n">
        <x:f>I6+J6</x:f>
        <x:v>12.499333333333334</x:v>
      </x:c>
      <x:c r="L6" s="61" t="n">
        <x:f>C6*60+E6+F6</x:f>
        <x:v>35</x:v>
      </x:c>
    </x:row>
    <x:row r="7" ht="44" customHeight="1">
      <x:c r="A7" s="61" t="str">
        <x:v>Primarily self-hosted</x:v>
      </x:c>
      <x:c r="B7" s="72" t="n">
        <x:v>0</x:v>
      </x:c>
      <x:c r="C7" s="72" t="n">
        <x:v>0</x:v>
      </x:c>
      <x:c r="D7" s="72" t="n">
        <x:v>0</x:v>
      </x:c>
      <x:c r="E7" s="76" t="n">
        <x:v>30</x:v>
      </x:c>
      <x:c r="F7" s="76" t="n">
        <x:v>15</x:v>
      </x:c>
      <x:c r="G7" s="76" t="n">
        <x:v>1</x:v>
      </x:c>
      <x:c r="H7" s="77" t="n">
        <x:v>300</x:v>
      </x:c>
      <x:c r="I7" s="59" t="n">
        <x:f>(Inputs!$B$13+Inputs!$B$14+Inputs!$B$15)+B7*(Inputs!$B$9*(1+Inputs!$B$10)/1000*Inputs!$B$11)+D7*(Inputs!$B$7*(1+Inputs!$B$10)*Inputs!$B$12)+G7*(Inputs!$B$7*60*(1+Inputs!$B$10)*Inputs!$B$20/3600*Inputs!$B$19)</x:f>
        <x:v>1.002</x:v>
      </x:c>
      <x:c r="J7" s="59" t="n">
        <x:f>C7*Inputs!$B$18+E7/60*Inputs!$B$16+F7/60*Inputs!$B$17</x:f>
        <x:v>13.75</x:v>
      </x:c>
      <x:c r="K7" s="62" t="n">
        <x:f>I7+J7</x:f>
        <x:v>14.752</x:v>
      </x:c>
      <x:c r="L7" s="61" t="n">
        <x:f>C7*60+E7+F7</x:f>
        <x:v>45</x:v>
      </x:c>
    </x:row>
    <x:row r="8" ht="44" customHeight="1">
      <x:c r="A8" s="61" t="str">
        <x:v>Human recorded</x:v>
      </x:c>
      <x:c r="B8" s="72" t="n">
        <x:v>0</x:v>
      </x:c>
      <x:c r="C8" s="72" t="n">
        <x:v>1</x:v>
      </x:c>
      <x:c r="D8" s="72" t="n">
        <x:v>0</x:v>
      </x:c>
      <x:c r="E8" s="76" t="n">
        <x:v>20</x:v>
      </x:c>
      <x:c r="F8" s="76" t="n">
        <x:v>20</x:v>
      </x:c>
      <x:c r="G8" s="76" t="n">
        <x:v>0</x:v>
      </x:c>
      <x:c r="H8" s="77" t="n">
        <x:v>100</x:v>
      </x:c>
      <x:c r="I8" s="59" t="n">
        <x:f>(Inputs!$B$13+Inputs!$B$14+Inputs!$B$15)+B8*(Inputs!$B$9*(1+Inputs!$B$10)/1000*Inputs!$B$11)+D8*(Inputs!$B$7*(1+Inputs!$B$10)*Inputs!$B$12)+G8*(Inputs!$B$7*60*(1+Inputs!$B$10)*Inputs!$B$20/3600*Inputs!$B$19)</x:f>
        <x:v>0.73</x:v>
      </x:c>
      <x:c r="J8" s="59" t="n">
        <x:f>C8*Inputs!$B$18+E8/60*Inputs!$B$16+F8/60*Inputs!$B$17</x:f>
        <x:v>41.666666666666664</x:v>
      </x:c>
      <x:c r="K8" s="62" t="n">
        <x:f>I8+J8</x:f>
        <x:v>42.39666666666666</x:v>
      </x:c>
      <x:c r="L8" s="61" t="n">
        <x:f>C8*60+E8+F8</x:f>
        <x:v>100</x:v>
      </x:c>
    </x:row>
    <x:row r="9" ht="44" customHeight="1">
      <x:c r="A9" s="61" t="str">
        <x:v>Human performance + STS</x:v>
      </x:c>
      <x:c r="B9" s="72" t="n">
        <x:v>0</x:v>
      </x:c>
      <x:c r="C9" s="72" t="n">
        <x:v>0.75</x:v>
      </x:c>
      <x:c r="D9" s="72" t="n">
        <x:v>1</x:v>
      </x:c>
      <x:c r="E9" s="76" t="n">
        <x:v>20</x:v>
      </x:c>
      <x:c r="F9" s="76" t="n">
        <x:v>15</x:v>
      </x:c>
      <x:c r="G9" s="76" t="n">
        <x:v>0</x:v>
      </x:c>
      <x:c r="H9" s="77" t="n">
        <x:v>125</x:v>
      </x:c>
      <x:c r="I9" s="59" t="n">
        <x:f>(Inputs!$B$13+Inputs!$B$14+Inputs!$B$15)+B9*(Inputs!$B$9*(1+Inputs!$B$10)/1000*Inputs!$B$11)+D9*(Inputs!$B$7*(1+Inputs!$B$10)*Inputs!$B$12)+G9*(Inputs!$B$7*60*(1+Inputs!$B$10)*Inputs!$B$20/3600*Inputs!$B$19)</x:f>
        <x:v>1.954</x:v>
      </x:c>
      <x:c r="J9" s="59" t="n">
        <x:f>C9*Inputs!$B$18+E9/60*Inputs!$B$16+F9/60*Inputs!$B$17</x:f>
        <x:v>32.916666666666664</x:v>
      </x:c>
      <x:c r="K9" s="62" t="n">
        <x:f>I9+J9</x:f>
        <x:v>34.870666666666665</x:v>
      </x:c>
      <x:c r="L9" s="61" t="n">
        <x:f>C9*60+E9+F9</x:f>
        <x:v>80</x:v>
      </x:c>
    </x:row>
    <x:row r="10" ht="44" customHeight="1">
      <x:c r="A10" s="61" t="str">
        <x:v>Hybrid: 80% TTS / 20% performed</x:v>
      </x:c>
      <x:c r="B10" s="72" t="n">
        <x:v>0.8</x:v>
      </x:c>
      <x:c r="C10" s="72" t="n">
        <x:v>0.15</x:v>
      </x:c>
      <x:c r="D10" s="72" t="n">
        <x:v>0.2</x:v>
      </x:c>
      <x:c r="E10" s="76" t="n">
        <x:v>25</x:v>
      </x:c>
      <x:c r="F10" s="76" t="n">
        <x:v>10</x:v>
      </x:c>
      <x:c r="G10" s="76" t="n">
        <x:v>0</x:v>
      </x:c>
      <x:c r="H10" s="77" t="n">
        <x:v>150</x:v>
      </x:c>
      <x:c r="I10" s="59" t="n">
        <x:f>(Inputs!$B$13+Inputs!$B$14+Inputs!$B$15)+B10*(Inputs!$B$9*(1+Inputs!$B$10)/1000*Inputs!$B$11)+D10*(Inputs!$B$7*(1+Inputs!$B$10)*Inputs!$B$12)+G10*(Inputs!$B$7*60*(1+Inputs!$B$10)*Inputs!$B$20/3600*Inputs!$B$19)</x:f>
        <x:v>1.7236000000000002</x:v>
      </x:c>
      <x:c r="J10" s="59" t="n">
        <x:f>C10*Inputs!$B$18+E10/60*Inputs!$B$16+F10/60*Inputs!$B$17</x:f>
        <x:v>15.333333333333334</x:v>
      </x:c>
      <x:c r="K10" s="62" t="n">
        <x:f>I10+J10</x:f>
        <x:v>17.056933333333333</x:v>
      </x:c>
      <x:c r="L10" s="61" t="n">
        <x:f>C10*60+E10+F10</x:f>
        <x:v>44</x:v>
      </x:c>
    </x:row>
    <x:row r="11" ht="22" customHeight="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</x:row>
    <x:row r="12" ht="22" customHeight="1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</x:row>
    <x:row r="13" ht="22" customHeight="1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</x:row>
    <x:row r="14" ht="22" customHeight="1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</x:row>
    <x:row r="15" ht="22" customHeight="1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</x:row>
    <x:row r="16" ht="22" customHeight="1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</x:row>
    <x:row r="17" ht="22" customHeight="1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</x:row>
    <x:row r="18" ht="22" customHeight="1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</x:row>
    <x:row r="19" ht="22" customHeight="1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</x:row>
    <x:row r="20" ht="22" customHeight="1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</x:row>
    <x:row r="21" ht="22" customHeight="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</x:row>
    <x:row r="22" ht="22" customHeight="1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</x:row>
    <x:row r="23" ht="22" customHeight="1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</x:row>
    <x:row r="24" ht="22" customHeight="1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</x:row>
    <x:row r="25" ht="22" customHeight="1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</x:row>
    <x:row r="26" ht="22" customHeight="1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</x:row>
    <x:row r="27" ht="22" customHeight="1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</x:row>
    <x:row r="28" ht="22" customHeight="1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</x:row>
    <x:row r="29" ht="22" customHeight="1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</x:row>
    <x:row r="30" ht="22" customHeight="1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</x:row>
    <x:row r="31" ht="22" customHeight="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</x:row>
    <x:row r="32" ht="22" customHeight="1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</x:row>
    <x:row r="33" ht="22" customHeight="1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</x:row>
    <x:row r="34" ht="22" customHeight="1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</x:row>
    <x:row r="35" ht="22" customHeight="1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</x:row>
    <x:row r="36" ht="22" customHeight="1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</x:row>
    <x:row r="37" ht="22" customHeight="1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</x:row>
    <x:row r="38" ht="22" customHeight="1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</x:row>
    <x:row r="39" ht="22" customHeight="1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</x:row>
    <x:row r="40" ht="22" customHeight="1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</x:row>
    <x:row r="41" ht="22" customHeight="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</x:row>
    <x:row r="42" ht="22" customHeight="1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</x:row>
    <x:row r="43" ht="22" customHeight="1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</x:row>
    <x:row r="44" ht="22" customHeight="1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</x:row>
    <x:row r="45" ht="22" customHeight="1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</x:row>
    <x:row r="46" ht="22" customHeight="1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</x:row>
    <x:row r="47" ht="22" customHeight="1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</x:row>
    <x:row r="48" ht="22" customHeight="1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</x:row>
    <x:row r="49" ht="22" customHeight="1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</x:row>
    <x:row r="50" ht="22" customHeight="1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</x:row>
    <x:row r="51" ht="22" customHeight="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</x:row>
    <x:row r="52" ht="22" customHeight="1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</x:row>
    <x:row r="53" ht="22" customHeight="1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</x:row>
    <x:row r="54" ht="22" customHeight="1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</x:row>
    <x:row r="55" ht="22" customHeight="1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</x:row>
    <x:row r="56" ht="22" customHeight="1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</x:row>
    <x:row r="57" ht="22" customHeight="1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</x:row>
    <x:row r="58" ht="22" customHeight="1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</x:row>
    <x:row r="59" ht="22" customHeight="1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</x:row>
    <x:row r="60" ht="22" customHeight="1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</x:row>
  </x:sheetData>
  <x:mergeCells>
    <x:mergeCell ref="A1:L1"/>
    <x:mergeCell ref="A2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40" hidden="0" customWidth="1"/>
  </x:cols>
  <x:sheetData>
    <x:row r="1" ht="34" customHeight="1">
      <x:c r="A1" s="54" t="str">
        <x:v>Provider tariff references</x:v>
      </x:c>
      <x:c r="B1" s="54"/>
      <x:c r="C1" s="54"/>
      <x:c r="D1" s="54"/>
      <x:c r="E1" s="54"/>
      <x:c r="F1" s="54"/>
    </x:row>
    <x:row r="2" ht="24" customHeight="1">
      <x:c r="A2" s="55" t="str">
        <x:v>Public rates can change. Model, plan, minimum spend and licensing are not interchangeable. Legacy model prices must not drive a new launch.</x:v>
      </x:c>
      <x:c r="B2" s="55"/>
      <x:c r="C2" s="55"/>
      <x:c r="D2" s="55"/>
      <x:c r="E2" s="55"/>
      <x:c r="F2" s="55"/>
    </x:row>
    <x:row r="3" ht="24" customHeight="1">
      <x:c r="A3" s="55"/>
      <x:c r="B3" s="55"/>
      <x:c r="C3" s="55"/>
      <x:c r="D3" s="55"/>
      <x:c r="E3" s="55"/>
      <x:c r="F3" s="55"/>
    </x:row>
    <x:row r="4" ht="22" customHeight="1">
      <x:c r="A4" s="56"/>
      <x:c r="B4" s="56"/>
      <x:c r="C4" s="56"/>
      <x:c r="D4" s="56"/>
      <x:c r="E4" s="56"/>
      <x:c r="F4" s="56"/>
    </x:row>
    <x:row r="5" ht="32" customHeight="1">
      <x:c r="A5" s="57" t="str">
        <x:v>Provider / method</x:v>
      </x:c>
      <x:c r="B5" s="57" t="str">
        <x:v>Pricing basis</x:v>
      </x:c>
      <x:c r="C5" s="57" t="str">
        <x:v>Example synthesis cost</x:v>
      </x:c>
      <x:c r="D5" s="57" t="str">
        <x:v>Scope</x:v>
      </x:c>
      <x:c r="E5" s="57" t="str">
        <x:v>Lifecycle / limit</x:v>
      </x:c>
      <x:c r="F5" s="57" t="str">
        <x:v>Source</x:v>
      </x:c>
    </x:row>
    <x:row r="6" ht="61" customHeight="1">
      <x:c r="A6" s="61" t="str">
        <x:v>ElevenLabs v2/v3 reference</x:v>
      </x:c>
      <x:c r="B6" s="61" t="str">
        <x:v>$0.10 / 1,000 chars</x:v>
      </x:c>
      <x:c r="C6" s="62" t="n">
        <x:f>(Inputs!$B$9*(1+Inputs!$B$10)/1000*Inputs!$B$11)</x:f>
        <x:v>0.9359999999999999</x:v>
      </x:c>
      <x:c r="D6" s="61" t="str">
        <x:v>9,360 generated characters</x:v>
      </x:c>
      <x:c r="E6" s="61" t="str">
        <x:v>Reference budget, not verified v4 tariff</x:v>
      </x:c>
      <x:c r="F6" s="61" t="str">
        <x:v>https://elevenlabs.io/pricing/api</x:v>
      </x:c>
    </x:row>
    <x:row r="7" ht="61" customHeight="1">
      <x:c r="A7" s="61" t="str">
        <x:v>Eleven v4</x:v>
      </x:c>
      <x:c r="B7" s="61" t="str">
        <x:v>Account/model quote required</x:v>
      </x:c>
      <x:c r="C7" s="62" t="str">
        <x:v>TBD</x:v>
      </x:c>
      <x:c r="D7" s="61" t="str">
        <x:v>Latest expressive audition candidate</x:v>
      </x:c>
      <x:c r="E7" s="61" t="str">
        <x:v>Do not infer from v2/v3 or approximate $/minute marketing</x:v>
      </x:c>
      <x:c r="F7" s="61" t="str">
        <x:v>https://elevenlabs.io/pricing/api</x:v>
      </x:c>
    </x:row>
    <x:row r="8" ht="61" customHeight="1">
      <x:c r="A8" s="61" t="str">
        <x:v>Gemini 3.8 Flash TTS — now</x:v>
      </x:c>
      <x:c r="B8" s="61" t="str">
        <x:v>$0.50 input / $9 output per million</x:v>
      </x:c>
      <x:c r="C8" s="62" t="n">
        <x:f>(Inputs!$B$7*60*Inputs!$B$23*Inputs!$B$25+Inputs!$B$22*Inputs!$B$24)*(1+Inputs!$B$10)/1000000</x:f>
        <x:v>0.1392</x:v>
      </x:c>
      <x:c r="D8" s="61" t="str">
        <x:v>612 generated seconds + estimated text</x:v>
      </x:c>
      <x:c r="E8" s="61" t="str">
        <x:v>Current through 2026-12-31 per published schedule</x:v>
      </x:c>
      <x:c r="F8" s="61" t="str">
        <x:v>https://ai.google.dev/gemini-api/docs/pricing</x:v>
      </x:c>
    </x:row>
    <x:row r="9" ht="61" customHeight="1">
      <x:c r="A9" s="61" t="str">
        <x:v>Gemini 3.8 Flash TTS — scheduled</x:v>
      </x:c>
      <x:c r="B9" s="61" t="str">
        <x:v>$1 input / $18 output per million</x:v>
      </x:c>
      <x:c r="C9" s="62" t="n">
        <x:f>(Inputs!$B$7*60*Inputs!$B$23*Inputs!$B$27+Inputs!$B$22*Inputs!$B$26)*(1+Inputs!$B$10)/1000000</x:f>
        <x:v>0.2784</x:v>
      </x:c>
      <x:c r="D9" s="61" t="str">
        <x:v>Same workload</x:v>
      </x:c>
      <x:c r="E9" s="61" t="str">
        <x:v>Scheduled from 2027-01-01; recheck</x:v>
      </x:c>
      <x:c r="F9" s="61" t="str">
        <x:v>https://ai.google.dev/gemini-api/docs/pricing</x:v>
      </x:c>
    </x:row>
    <x:row r="10" ht="61" customHeight="1">
      <x:c r="A10" s="61" t="str">
        <x:v>Cartesia Pro</x:v>
      </x:c>
      <x:c r="B10" s="61" t="str">
        <x:v>$5 / 100,000 credits</x:v>
      </x:c>
      <x:c r="C10" s="62" t="str">
        <x:v>Plan, not variable invoice</x:v>
      </x:c>
      <x:c r="D10" s="61" t="str">
        <x:v>1 character = 1 TTS credit</x:v>
      </x:c>
      <x:c r="E10" s="61" t="str">
        <x:v>Allowance, concurrency and model constraints apply</x:v>
      </x:c>
      <x:c r="F10" s="61" t="str">
        <x:v>https://cartesia.ai/pricing</x:v>
      </x:c>
    </x:row>
    <x:row r="11" ht="61" customHeight="1">
      <x:c r="A11" s="61" t="str">
        <x:v>Cartesia Startup</x:v>
      </x:c>
      <x:c r="B11" s="61" t="str">
        <x:v>$49 / 1.25 million credits</x:v>
      </x:c>
      <x:c r="C11" s="62" t="str">
        <x:v>$49 plan fits 936,000 chars</x:v>
      </x:c>
      <x:c r="D11" s="61" t="str">
        <x:v>100 lessons at the modeled length</x:v>
      </x:c>
      <x:c r="E11" s="61" t="str">
        <x:v>Does not price 1,000 lessons</x:v>
      </x:c>
      <x:c r="F11" s="61" t="str">
        <x:v>https://cartesia.ai/pricing</x:v>
      </x:c>
    </x:row>
    <x:row r="12" ht="61" customHeight="1">
      <x:c r="A12" s="61" t="str">
        <x:v>Cartesia Scale</x:v>
      </x:c>
      <x:c r="B12" s="61" t="str">
        <x:v>$299 / 8 million credits</x:v>
      </x:c>
      <x:c r="C12" s="62" t="str">
        <x:v>9.36 million exceeds this allowance</x:v>
      </x:c>
      <x:c r="D12" s="61" t="str">
        <x:v>1,000 modeled lessons</x:v>
      </x:c>
      <x:c r="E12" s="61" t="str">
        <x:v>Obtain higher tier / overage quote</x:v>
      </x:c>
      <x:c r="F12" s="61" t="str">
        <x:v>https://cartesia.ai/pricing</x:v>
      </x:c>
    </x:row>
    <x:row r="13" ht="61" customHeight="1">
      <x:c r="A13" s="61" t="str">
        <x:v>OpenAI realtime2.1-mini</x:v>
      </x:c>
      <x:c r="B13" s="61" t="str">
        <x:v>$0.60 / M text input; $20 / M audio output</x:v>
      </x:c>
      <x:c r="C13" s="62" t="str">
        <x:v>Usage-dependent</x:v>
      </x:c>
      <x:c r="D13" s="61" t="str">
        <x:v>Do not transplant Gemini token/second rate</x:v>
      </x:c>
      <x:c r="E13" s="61" t="str">
        <x:v>New adapter and exact-script audition required</x:v>
      </x:c>
      <x:c r="F13" s="61" t="str">
        <x:v>https://developers.openai.com/api/docs/models/gpt-realtime-2.1-mini</x:v>
      </x:c>
    </x:row>
    <x:row r="14" ht="61" customHeight="1">
      <x:c r="A14" s="61" t="str">
        <x:v>OpenAI old TTS models</x:v>
      </x:c>
      <x:c r="B14" s="61" t="str">
        <x:v>Legacy migration fixture</x:v>
      </x:c>
      <x:c r="C14" s="62" t="str">
        <x:v>Do not use for new production</x:v>
      </x:c>
      <x:c r="D14" s="61" t="str">
        <x:v>Model shutdown 2027-01-06</x:v>
      </x:c>
      <x:c r="E14" s="61" t="str">
        <x:v>Official notice 2026-10-01</x:v>
      </x:c>
      <x:c r="F14" s="61" t="str">
        <x:v>https://developers.openai.com/api/docs/deprecations</x:v>
      </x:c>
    </x:row>
    <x:row r="15" ht="61" customHeight="1">
      <x:c r="A15" s="61" t="str">
        <x:v>Eleven speech-to-speech</x:v>
      </x:c>
      <x:c r="B15" s="61" t="str">
        <x:v>$0.12 / generated minute</x:v>
      </x:c>
      <x:c r="C15" s="62" t="n">
        <x:f>(Inputs!$B$7*(1+Inputs!$B$10)*Inputs!$B$12)</x:f>
        <x:v>1.224</x:v>
      </x:c>
      <x:c r="D15" s="61" t="str">
        <x:v>10.2 generated minutes with retry allowance</x:v>
      </x:c>
      <x:c r="E15" s="61" t="str">
        <x:v>Voice rights + human reference production separate</x:v>
      </x:c>
      <x:c r="F15" s="61" t="str">
        <x:v>https://elevenlabs.io/pricing/api</x:v>
      </x:c>
    </x:row>
    <x:row r="16" ht="61" customHeight="1">
      <x:c r="A16" s="61" t="str">
        <x:v>Human performance</x:v>
      </x:c>
      <x:c r="B16" s="61" t="str">
        <x:v>Illustrative $30 / recording hour</x:v>
      </x:c>
      <x:c r="C16" s="62" t="str">
        <x:v>Not a market quote</x:v>
      </x:c>
      <x:c r="D16" s="61" t="str">
        <x:v>Recording time is NOT finished audio time</x:v>
      </x:c>
      <x:c r="E16" s="61" t="str">
        <x:v>Buyouts, licensing and retakes must be quoted</x:v>
      </x:c>
      <x:c r="F16" s="61" t="str">
        <x:v>Planning assumption</x:v>
      </x:c>
    </x:row>
    <x:row r="17" ht="61" customHeight="1">
      <x:c r="A17" s="61" t="str">
        <x:v>Self-hosted inference</x:v>
      </x:c>
      <x:c r="B17" s="61" t="str">
        <x:v>Illustrative $0.80 / GPU hour</x:v>
      </x:c>
      <x:c r="C17" s="62" t="n">
        <x:f>(Inputs!$B$7*60*(1+Inputs!$B$10)*Inputs!$B$20/3600*Inputs!$B$19)</x:f>
        <x:v>0.272</x:v>
      </x:c>
      <x:c r="D17" s="61" t="str">
        <x:v>RTF 2, including 20% regeneration</x:v>
      </x:c>
      <x:c r="E17" s="61" t="str">
        <x:v>No local neural TTS benchmark performed</x:v>
      </x:c>
      <x:c r="F17" s="61" t="str">
        <x:v>Planning assumption</x:v>
      </x:c>
    </x:row>
    <x:row r="18" ht="22" customHeight="1">
      <x:c r="A18" s="56"/>
      <x:c r="B18" s="56"/>
      <x:c r="C18" s="56"/>
      <x:c r="D18" s="56"/>
      <x:c r="E18" s="56"/>
      <x:c r="F18" s="56"/>
    </x:row>
    <x:row r="19" ht="22" customHeight="1">
      <x:c r="A19" s="56"/>
      <x:c r="B19" s="56"/>
      <x:c r="C19" s="56"/>
      <x:c r="D19" s="56"/>
      <x:c r="E19" s="56"/>
      <x:c r="F19" s="56"/>
    </x:row>
    <x:row r="20" ht="22" customHeight="1">
      <x:c r="A20" s="56"/>
      <x:c r="B20" s="56"/>
      <x:c r="C20" s="56"/>
      <x:c r="D20" s="56"/>
      <x:c r="E20" s="56"/>
      <x:c r="F20" s="56"/>
    </x:row>
    <x:row r="21" ht="22" customHeight="1">
      <x:c r="A21" s="56"/>
      <x:c r="B21" s="56"/>
      <x:c r="C21" s="56"/>
      <x:c r="D21" s="56"/>
      <x:c r="E21" s="56"/>
      <x:c r="F21" s="56"/>
    </x:row>
    <x:row r="22" ht="22" customHeight="1">
      <x:c r="A22" s="56"/>
      <x:c r="B22" s="56"/>
      <x:c r="C22" s="56"/>
      <x:c r="D22" s="56"/>
      <x:c r="E22" s="56"/>
      <x:c r="F22" s="56"/>
    </x:row>
    <x:row r="23" ht="22" customHeight="1">
      <x:c r="A23" s="56"/>
      <x:c r="B23" s="56"/>
      <x:c r="C23" s="56"/>
      <x:c r="D23" s="56"/>
      <x:c r="E23" s="56"/>
      <x:c r="F23" s="56"/>
    </x:row>
    <x:row r="24" ht="22" customHeight="1">
      <x:c r="A24" s="56"/>
      <x:c r="B24" s="56"/>
      <x:c r="C24" s="56"/>
      <x:c r="D24" s="56"/>
      <x:c r="E24" s="56"/>
      <x:c r="F24" s="56"/>
    </x:row>
    <x:row r="25" ht="22" customHeight="1">
      <x:c r="A25" s="56"/>
      <x:c r="B25" s="56"/>
      <x:c r="C25" s="56"/>
      <x:c r="D25" s="56"/>
      <x:c r="E25" s="56"/>
      <x:c r="F25" s="56"/>
    </x:row>
    <x:row r="26" ht="22" customHeight="1">
      <x:c r="A26" s="56"/>
      <x:c r="B26" s="56"/>
      <x:c r="C26" s="56"/>
      <x:c r="D26" s="56"/>
      <x:c r="E26" s="56"/>
      <x:c r="F26" s="56"/>
    </x:row>
    <x:row r="27" ht="22" customHeight="1">
      <x:c r="A27" s="56"/>
      <x:c r="B27" s="56"/>
      <x:c r="C27" s="56"/>
      <x:c r="D27" s="56"/>
      <x:c r="E27" s="56"/>
      <x:c r="F27" s="56"/>
    </x:row>
    <x:row r="28" ht="22" customHeight="1">
      <x:c r="A28" s="56"/>
      <x:c r="B28" s="56"/>
      <x:c r="C28" s="56"/>
      <x:c r="D28" s="56"/>
      <x:c r="E28" s="56"/>
      <x:c r="F28" s="56"/>
    </x:row>
    <x:row r="29" ht="22" customHeight="1">
      <x:c r="A29" s="56"/>
      <x:c r="B29" s="56"/>
      <x:c r="C29" s="56"/>
      <x:c r="D29" s="56"/>
      <x:c r="E29" s="56"/>
      <x:c r="F29" s="56"/>
    </x:row>
    <x:row r="30" ht="22" customHeight="1">
      <x:c r="A30" s="56"/>
      <x:c r="B30" s="56"/>
      <x:c r="C30" s="56"/>
      <x:c r="D30" s="56"/>
      <x:c r="E30" s="56"/>
      <x:c r="F30" s="56"/>
    </x:row>
    <x:row r="31" ht="22" customHeight="1">
      <x:c r="A31" s="56"/>
      <x:c r="B31" s="56"/>
      <x:c r="C31" s="56"/>
      <x:c r="D31" s="56"/>
      <x:c r="E31" s="56"/>
      <x:c r="F31" s="56"/>
    </x:row>
    <x:row r="32" ht="22" customHeight="1">
      <x:c r="A32" s="56"/>
      <x:c r="B32" s="56"/>
      <x:c r="C32" s="56"/>
      <x:c r="D32" s="56"/>
      <x:c r="E32" s="56"/>
      <x:c r="F32" s="56"/>
    </x:row>
    <x:row r="33" ht="22" customHeight="1">
      <x:c r="A33" s="56"/>
      <x:c r="B33" s="56"/>
      <x:c r="C33" s="56"/>
      <x:c r="D33" s="56"/>
      <x:c r="E33" s="56"/>
      <x:c r="F33" s="56"/>
    </x:row>
    <x:row r="34" ht="22" customHeight="1">
      <x:c r="A34" s="56"/>
      <x:c r="B34" s="56"/>
      <x:c r="C34" s="56"/>
      <x:c r="D34" s="56"/>
      <x:c r="E34" s="56"/>
      <x:c r="F34" s="56"/>
    </x:row>
    <x:row r="35" ht="22" customHeight="1">
      <x:c r="A35" s="56"/>
      <x:c r="B35" s="56"/>
      <x:c r="C35" s="56"/>
      <x:c r="D35" s="56"/>
      <x:c r="E35" s="56"/>
      <x:c r="F35" s="56"/>
    </x:row>
    <x:row r="36" ht="22" customHeight="1">
      <x:c r="A36" s="56"/>
      <x:c r="B36" s="56"/>
      <x:c r="C36" s="56"/>
      <x:c r="D36" s="56"/>
      <x:c r="E36" s="56"/>
      <x:c r="F36" s="56"/>
    </x:row>
    <x:row r="37" ht="22" customHeight="1">
      <x:c r="A37" s="56"/>
      <x:c r="B37" s="56"/>
      <x:c r="C37" s="56"/>
      <x:c r="D37" s="56"/>
      <x:c r="E37" s="56"/>
      <x:c r="F37" s="56"/>
    </x:row>
    <x:row r="38" ht="22" customHeight="1">
      <x:c r="A38" s="56"/>
      <x:c r="B38" s="56"/>
      <x:c r="C38" s="56"/>
      <x:c r="D38" s="56"/>
      <x:c r="E38" s="56"/>
      <x:c r="F38" s="56"/>
    </x:row>
    <x:row r="39" ht="22" customHeight="1">
      <x:c r="A39" s="56"/>
      <x:c r="B39" s="56"/>
      <x:c r="C39" s="56"/>
      <x:c r="D39" s="56"/>
      <x:c r="E39" s="56"/>
      <x:c r="F39" s="56"/>
    </x:row>
    <x:row r="40" ht="22" customHeight="1">
      <x:c r="A40" s="56"/>
      <x:c r="B40" s="56"/>
      <x:c r="C40" s="56"/>
      <x:c r="D40" s="56"/>
      <x:c r="E40" s="56"/>
      <x:c r="F40" s="56"/>
    </x:row>
    <x:row r="41" ht="22" customHeight="1">
      <x:c r="A41" s="56"/>
      <x:c r="B41" s="56"/>
      <x:c r="C41" s="56"/>
      <x:c r="D41" s="56"/>
      <x:c r="E41" s="56"/>
      <x:c r="F41" s="56"/>
    </x:row>
    <x:row r="42" ht="22" customHeight="1">
      <x:c r="A42" s="56"/>
      <x:c r="B42" s="56"/>
      <x:c r="C42" s="56"/>
      <x:c r="D42" s="56"/>
      <x:c r="E42" s="56"/>
      <x:c r="F42" s="56"/>
    </x:row>
    <x:row r="43" ht="22" customHeight="1">
      <x:c r="A43" s="56"/>
      <x:c r="B43" s="56"/>
      <x:c r="C43" s="56"/>
      <x:c r="D43" s="56"/>
      <x:c r="E43" s="56"/>
      <x:c r="F43" s="56"/>
    </x:row>
    <x:row r="44" ht="22" customHeight="1">
      <x:c r="A44" s="56"/>
      <x:c r="B44" s="56"/>
      <x:c r="C44" s="56"/>
      <x:c r="D44" s="56"/>
      <x:c r="E44" s="56"/>
      <x:c r="F44" s="56"/>
    </x:row>
    <x:row r="45" ht="22" customHeight="1">
      <x:c r="A45" s="56"/>
      <x:c r="B45" s="56"/>
      <x:c r="C45" s="56"/>
      <x:c r="D45" s="56"/>
      <x:c r="E45" s="56"/>
      <x:c r="F45" s="56"/>
    </x:row>
    <x:row r="46" ht="22" customHeight="1">
      <x:c r="A46" s="56"/>
      <x:c r="B46" s="56"/>
      <x:c r="C46" s="56"/>
      <x:c r="D46" s="56"/>
      <x:c r="E46" s="56"/>
      <x:c r="F46" s="56"/>
    </x:row>
    <x:row r="47" ht="22" customHeight="1">
      <x:c r="A47" s="56"/>
      <x:c r="B47" s="56"/>
      <x:c r="C47" s="56"/>
      <x:c r="D47" s="56"/>
      <x:c r="E47" s="56"/>
      <x:c r="F47" s="56"/>
    </x:row>
    <x:row r="48" ht="22" customHeight="1">
      <x:c r="A48" s="56"/>
      <x:c r="B48" s="56"/>
      <x:c r="C48" s="56"/>
      <x:c r="D48" s="56"/>
      <x:c r="E48" s="56"/>
      <x:c r="F48" s="56"/>
    </x:row>
    <x:row r="49" ht="22" customHeight="1">
      <x:c r="A49" s="56"/>
      <x:c r="B49" s="56"/>
      <x:c r="C49" s="56"/>
      <x:c r="D49" s="56"/>
      <x:c r="E49" s="56"/>
      <x:c r="F49" s="56"/>
    </x:row>
    <x:row r="50" ht="22" customHeight="1">
      <x:c r="A50" s="56"/>
      <x:c r="B50" s="56"/>
      <x:c r="C50" s="56"/>
      <x:c r="D50" s="56"/>
      <x:c r="E50" s="56"/>
      <x:c r="F50" s="56"/>
    </x:row>
    <x:row r="51" ht="22" customHeight="1">
      <x:c r="A51" s="56"/>
      <x:c r="B51" s="56"/>
      <x:c r="C51" s="56"/>
      <x:c r="D51" s="56"/>
      <x:c r="E51" s="56"/>
      <x:c r="F51" s="56"/>
    </x:row>
    <x:row r="52" ht="22" customHeight="1">
      <x:c r="A52" s="56"/>
      <x:c r="B52" s="56"/>
      <x:c r="C52" s="56"/>
      <x:c r="D52" s="56"/>
      <x:c r="E52" s="56"/>
      <x:c r="F52" s="56"/>
    </x:row>
    <x:row r="53" ht="22" customHeight="1">
      <x:c r="A53" s="56"/>
      <x:c r="B53" s="56"/>
      <x:c r="C53" s="56"/>
      <x:c r="D53" s="56"/>
      <x:c r="E53" s="56"/>
      <x:c r="F53" s="56"/>
    </x:row>
    <x:row r="54" ht="22" customHeight="1">
      <x:c r="A54" s="56"/>
      <x:c r="B54" s="56"/>
      <x:c r="C54" s="56"/>
      <x:c r="D54" s="56"/>
      <x:c r="E54" s="56"/>
      <x:c r="F54" s="56"/>
    </x:row>
    <x:row r="55" ht="22" customHeight="1">
      <x:c r="A55" s="56"/>
      <x:c r="B55" s="56"/>
      <x:c r="C55" s="56"/>
      <x:c r="D55" s="56"/>
      <x:c r="E55" s="56"/>
      <x:c r="F55" s="56"/>
    </x:row>
    <x:row r="56" ht="22" customHeight="1">
      <x:c r="A56" s="56"/>
      <x:c r="B56" s="56"/>
      <x:c r="C56" s="56"/>
      <x:c r="D56" s="56"/>
      <x:c r="E56" s="56"/>
      <x:c r="F56" s="56"/>
    </x:row>
    <x:row r="57" ht="22" customHeight="1">
      <x:c r="A57" s="56"/>
      <x:c r="B57" s="56"/>
      <x:c r="C57" s="56"/>
      <x:c r="D57" s="56"/>
      <x:c r="E57" s="56"/>
      <x:c r="F57" s="56"/>
    </x:row>
    <x:row r="58" ht="22" customHeight="1">
      <x:c r="A58" s="56"/>
      <x:c r="B58" s="56"/>
      <x:c r="C58" s="56"/>
      <x:c r="D58" s="56"/>
      <x:c r="E58" s="56"/>
      <x:c r="F58" s="56"/>
    </x:row>
    <x:row r="59" ht="22" customHeight="1">
      <x:c r="A59" s="56"/>
      <x:c r="B59" s="56"/>
      <x:c r="C59" s="56"/>
      <x:c r="D59" s="56"/>
      <x:c r="E59" s="56"/>
      <x:c r="F59" s="56"/>
    </x:row>
    <x:row r="60" ht="22" customHeight="1">
      <x:c r="A60" s="56"/>
      <x:c r="B60" s="56"/>
      <x:c r="C60" s="56"/>
      <x:c r="D60" s="56"/>
      <x:c r="E60" s="56"/>
      <x:c r="F60" s="56"/>
    </x:row>
  </x:sheetData>
  <x:mergeCells>
    <x:mergeCell ref="A1:F1"/>
    <x:mergeCell ref="A2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34" customHeight="1">
      <x:c r="A1" s="54" t="str">
        <x:v>Fifteen custom narration Skills</x:v>
      </x:c>
      <x:c r="B1" s="54"/>
      <x:c r="C1" s="54"/>
      <x:c r="D1" s="54"/>
      <x:c r="E1" s="54"/>
    </x:row>
    <x:row r="2" ht="24" customHeight="1">
      <x:c r="A2" s="55" t="str">
        <x:v>Authored instructions and evaluation cases. They have not been tested by running Claude Code/Codex agents. Deterministic code tests are separate.</x:v>
      </x:c>
      <x:c r="B2" s="55"/>
      <x:c r="C2" s="55"/>
      <x:c r="D2" s="55"/>
      <x:c r="E2" s="55"/>
    </x:row>
    <x:row r="3" ht="24" customHeight="1">
      <x:c r="A3" s="55"/>
      <x:c r="B3" s="55"/>
      <x:c r="C3" s="55"/>
      <x:c r="D3" s="55"/>
      <x:c r="E3" s="55"/>
    </x:row>
    <x:row r="4" ht="22" customHeight="1">
      <x:c r="A4" s="56"/>
      <x:c r="B4" s="56"/>
      <x:c r="C4" s="56"/>
      <x:c r="D4" s="56"/>
      <x:c r="E4" s="56"/>
    </x:row>
    <x:row r="5" ht="32" customHeight="1">
      <x:c r="A5" s="57" t="str">
        <x:v>Skill</x:v>
      </x:c>
      <x:c r="B5" s="57" t="str">
        <x:v>Purpose</x:v>
      </x:c>
      <x:c r="C5" s="57" t="str">
        <x:v>Input</x:v>
      </x:c>
      <x:c r="D5" s="57" t="str">
        <x:v>Output</x:v>
      </x:c>
      <x:c r="E5" s="57" t="str">
        <x:v>Validation status</x:v>
      </x:c>
    </x:row>
    <x:row r="6" ht="76" customHeight="1">
      <x:c r="A6" s="61" t="str">
        <x:v>super-teacher-scriptwriter</x:v>
      </x:c>
      <x:c r="B6" s="61" t="str">
        <x:v>Convert approved academic claims into teachable conversational narration</x:v>
      </x:c>
      <x:c r="C6" s="61" t="str">
        <x:v>Approved LessonPlan, claim IDs, prerequisites, independent answer key</x:v>
      </x:c>
      <x:c r="D6" s="61" t="str">
        <x:v>NarrationPlan draft; source-preserving change log</x:v>
      </x:c>
      <x:c r="E6" s="61" t="str">
        <x:v>Authored, not agent-evaluated</x:v>
      </x:c>
    </x:row>
    <x:row r="7" ht="76" customHeight="1">
      <x:c r="A7" s="61" t="str">
        <x:v>dialogue-naturalizer</x:v>
      </x:c>
      <x:c r="B7" s="61" t="str">
        <x:v>Remove robotic phrasing without changing scientific meaning</x:v>
      </x:c>
      <x:c r="C7" s="61" t="str">
        <x:v>Draft narration and claim-preservation list</x:v>
      </x:c>
      <x:c r="D7" s="61" t="str">
        <x:v>Minimal wording diff with reasons</x:v>
      </x:c>
      <x:c r="E7" s="61" t="str">
        <x:v>Authored, not agent-evaluated</x:v>
      </x:c>
    </x:row>
    <x:row r="8" ht="76" customHeight="1">
      <x:c r="A8" s="61" t="str">
        <x:v>educational-storytelling</x:v>
      </x:c>
      <x:c r="B8" s="61" t="str">
        <x:v>Use a small helpful story or analogy with explicit limits</x:v>
      </x:c>
      <x:c r="C8" s="61" t="str">
        <x:v>Concept, misconception, local audience information</x:v>
      </x:c>
      <x:c r="D8" s="61" t="str">
        <x:v>Analogy mapping; boundary; return-to-science line</x:v>
      </x:c>
      <x:c r="E8" s="61" t="str">
        <x:v>Authored, not agent-evaluated</x:v>
      </x:c>
    </x:row>
    <x:row r="9" ht="76" customHeight="1">
      <x:c r="A9" s="61" t="str">
        <x:v>humour-meme-director</x:v>
      </x:c>
      <x:c r="B9" s="61" t="str">
        <x:v>Add optional concept-linked humour without ridicule</x:v>
      </x:c>
      <x:c r="C9" s="61" t="str">
        <x:v>Approved explanation and cultural context</x:v>
      </x:c>
      <x:c r="D9" s="61" t="str">
        <x:v>Up to a few removable lines; no mandatory quota</x:v>
      </x:c>
      <x:c r="E9" s="61" t="str">
        <x:v>Authored, not agent-evaluated</x:v>
      </x:c>
    </x:row>
    <x:row r="10" ht="76" customHeight="1">
      <x:c r="A10" s="61" t="str">
        <x:v>student-psychology-director</x:v>
      </x:c>
      <x:c r="B10" s="61" t="str">
        <x:v>Build competence through real attempts and specific feedback</x:v>
      </x:c>
      <x:c r="C10" s="61" t="str">
        <x:v>Objectives, questions, misconceptions and answer keys</x:v>
      </x:c>
      <x:c r="D10" s="61" t="str">
        <x:v>Support progression; feedback; calibrated progress text</x:v>
      </x:c>
      <x:c r="E10" s="61" t="str">
        <x:v>Authored, not agent-evaluated</x:v>
      </x:c>
    </x:row>
    <x:row r="11" ht="76" customHeight="1">
      <x:c r="A11" s="61" t="str">
        <x:v>interactive-teaching-director</x:v>
      </x:c>
      <x:c r="B11" s="61" t="str">
        <x:v>Create task-specific prompts, hidden answers and response windows</x:v>
      </x:c>
      <x:c r="C11" s="61" t="str">
        <x:v>Question bank, segment structure, required drawings/calculations</x:v>
      </x:c>
      <x:c r="D11" s="61" t="str">
        <x:v>Question and answer segments with dependency IDs and Pause nodes</x:v>
      </x:c>
      <x:c r="E11" s="61" t="str">
        <x:v>Authored, not agent-evaluated</x:v>
      </x:c>
    </x:row>
    <x:row r="12" ht="76" customHeight="1">
      <x:c r="A12" s="61" t="str">
        <x:v>voice-acting-director</x:v>
      </x:c>
      <x:c r="B12" s="61" t="str">
        <x:v>Apply a stable identity and purpose-linked delivery</x:v>
      </x:c>
      <x:c r="C12" s="61" t="str">
        <x:v>VoiceIdentity plus academically approved narration</x:v>
      </x:c>
      <x:c r="D12" s="61" t="str">
        <x:v>Direction records, emphasis, pronunciation audition list</x:v>
      </x:c>
      <x:c r="E12" s="61" t="str">
        <x:v>Authored, not agent-evaluated</x:v>
      </x:c>
    </x:row>
    <x:row r="13" ht="76" customHeight="1">
      <x:c r="A13" s="61" t="str">
        <x:v>pacing-controller</x:v>
      </x:c>
      <x:c r="B13" s="61" t="str">
        <x:v>Control cognitive pace without rigid scene slots</x:v>
      </x:c>
      <x:c r="C13" s="61" t="str">
        <x:v>Segment text, concepts, actual audio durations and tasks</x:v>
      </x:c>
      <x:c r="D13" s="61" t="str">
        <x:v>Duration report; boundary changes; external hold schedule</x:v>
      </x:c>
      <x:c r="E13" s="61" t="str">
        <x:v>Authored, not agent-evaluated</x:v>
      </x:c>
    </x:row>
    <x:row r="14" ht="76" customHeight="1">
      <x:c r="A14" s="61" t="str">
        <x:v>stem-pronunciation</x:v>
      </x:c>
      <x:c r="B14" s="61" t="str">
        <x:v>Create explicit context-aware readings of notation</x:v>
      </x:c>
      <x:c r="C14" s="61" t="str">
        <x:v>Formula AST/approved notation, locale, glossary</x:v>
      </x:c>
      <x:c r="D14" s="61" t="str">
        <x:v>Versioned spoken/display/caption mappings and test corpus</x:v>
      </x:c>
      <x:c r="E14" s="61" t="str">
        <x:v>Authored, not agent-evaluated</x:v>
      </x:c>
    </x:row>
    <x:row r="15" ht="76" customHeight="1">
      <x:c r="A15" s="61" t="str">
        <x:v>multilingual-director</x:v>
      </x:c>
      <x:c r="B15" s="61" t="str">
        <x:v>Produce audience-appropriate language without semantic drift</x:v>
      </x:c>
      <x:c r="C15" s="61" t="str">
        <x:v>Approved script, examination medium, locale term ledger</x:v>
      </x:c>
      <x:c r="D15" s="61" t="str">
        <x:v>Localized script, back-check, native-review issues</x:v>
      </x:c>
      <x:c r="E15" s="61" t="str">
        <x:v>Authored, not agent-evaluated</x:v>
      </x:c>
    </x:row>
    <x:row r="16" ht="76" customHeight="1">
      <x:c r="A16" s="61" t="str">
        <x:v>tts-provider-adapter</x:v>
      </x:c>
      <x:c r="B16" s="61" t="str">
        <x:v>Compile capability-checked provider payloads</x:v>
      </x:c>
      <x:c r="C16" s="61" t="str">
        <x:v>NarrationPlan, ProviderProfile, lexicon, rights record</x:v>
      </x:c>
      <x:c r="D16" s="61" t="str">
        <x:v>Offline requests; usage estimate; later provider-job record</x:v>
      </x:c>
      <x:c r="E16" s="61" t="str">
        <x:v>Authored, not agent-evaluated</x:v>
      </x:c>
    </x:row>
    <x:row r="17" ht="76" customHeight="1">
      <x:c r="A17" s="61" t="str">
        <x:v>speech-animation-synchronizer</x:v>
      </x:c>
      <x:c r="B17" s="61" t="str">
        <x:v>Use measured audio timing for educational visuals</x:v>
      </x:c>
      <x:c r="C17" s="61" t="str">
        <x:v>Final segment WAVs, validated alignments, cue occurrences</x:v>
      </x:c>
      <x:c r="D17" s="61" t="str">
        <x:v>Sample-index timeline, cue frames, captions, protected holds</x:v>
      </x:c>
      <x:c r="E17" s="61" t="str">
        <x:v>Authored, not agent-evaluated</x:v>
      </x:c>
    </x:row>
    <x:row r="18" ht="76" customHeight="1">
      <x:c r="A18" s="61" t="str">
        <x:v>audio-production-engineer</x:v>
      </x:c>
      <x:c r="B18" s="61" t="str">
        <x:v>Produce clear dialogue masters without erasing useful dynamics</x:v>
      </x:c>
      <x:c r="C18" s="61" t="str">
        <x:v>Accepted raw audio plus mixing and protected-silence manifest</x:v>
      </x:c>
      <x:c r="D18" s="61" t="str">
        <x:v>Archival WAV, deliverable audio, pre/post measurements</x:v>
      </x:c>
      <x:c r="E18" s="61" t="str">
        <x:v>Authored, not agent-evaluated</x:v>
      </x:c>
    </x:row>
    <x:row r="19" ht="76" customHeight="1">
      <x:c r="A19" s="61" t="str">
        <x:v>narration-quality-reviewer</x:v>
      </x:c>
      <x:c r="B19" s="61" t="str">
        <x:v>Detect text, signal, timing and performance defects</x:v>
      </x:c>
      <x:c r="C19" s="61" t="str">
        <x:v>Canonical transcript, independent ASR, alignments, audio, visuals</x:v>
      </x:c>
      <x:c r="D19" s="61" t="str">
        <x:v>Severity-ranked issues and hash-bound review evidence</x:v>
      </x:c>
      <x:c r="E19" s="61" t="str">
        <x:v>Authored, not agent-evaluated</x:v>
      </x:c>
    </x:row>
    <x:row r="20" ht="76" customHeight="1">
      <x:c r="A20" s="61" t="str">
        <x:v>cost-regeneration-optimizer</x:v>
      </x:c>
      <x:c r="B20" s="61" t="str">
        <x:v>Minimize duplicate generation and track actual costs</x:v>
      </x:c>
      <x:c r="C20" s="61" t="str">
        <x:v>Provider requests, quotes, job states, caches, accepted variants</x:v>
      </x:c>
      <x:c r="D20" s="61" t="str">
        <x:v>Usage ledger; scoped invalidation; retry decision</x:v>
      </x:c>
      <x:c r="E20" s="61" t="str">
        <x:v>Authored, not agent-evaluated</x:v>
      </x:c>
    </x:row>
    <x:row r="21" ht="22" customHeight="1">
      <x:c r="A21" s="56"/>
      <x:c r="B21" s="56"/>
      <x:c r="C21" s="56"/>
      <x:c r="D21" s="56"/>
      <x:c r="E21" s="56"/>
    </x:row>
    <x:row r="22" ht="22" customHeight="1">
      <x:c r="A22" s="56"/>
      <x:c r="B22" s="56"/>
      <x:c r="C22" s="56"/>
      <x:c r="D22" s="56"/>
      <x:c r="E22" s="56"/>
    </x:row>
    <x:row r="23" ht="22" customHeight="1">
      <x:c r="A23" s="56"/>
      <x:c r="B23" s="56"/>
      <x:c r="C23" s="56"/>
      <x:c r="D23" s="56"/>
      <x:c r="E23" s="56"/>
    </x:row>
    <x:row r="24" ht="22" customHeight="1">
      <x:c r="A24" s="56"/>
      <x:c r="B24" s="56"/>
      <x:c r="C24" s="56"/>
      <x:c r="D24" s="56"/>
      <x:c r="E24" s="56"/>
    </x:row>
    <x:row r="25" ht="22" customHeight="1">
      <x:c r="A25" s="56"/>
      <x:c r="B25" s="56"/>
      <x:c r="C25" s="56"/>
      <x:c r="D25" s="56"/>
      <x:c r="E25" s="56"/>
    </x:row>
    <x:row r="26" ht="22" customHeight="1">
      <x:c r="A26" s="56"/>
      <x:c r="B26" s="56"/>
      <x:c r="C26" s="56"/>
      <x:c r="D26" s="56"/>
      <x:c r="E26" s="56"/>
    </x:row>
    <x:row r="27" ht="22" customHeight="1">
      <x:c r="A27" s="56"/>
      <x:c r="B27" s="56"/>
      <x:c r="C27" s="56"/>
      <x:c r="D27" s="56"/>
      <x:c r="E27" s="56"/>
    </x:row>
    <x:row r="28" ht="22" customHeight="1">
      <x:c r="A28" s="56"/>
      <x:c r="B28" s="56"/>
      <x:c r="C28" s="56"/>
      <x:c r="D28" s="56"/>
      <x:c r="E28" s="56"/>
    </x:row>
    <x:row r="29" ht="22" customHeight="1">
      <x:c r="A29" s="56"/>
      <x:c r="B29" s="56"/>
      <x:c r="C29" s="56"/>
      <x:c r="D29" s="56"/>
      <x:c r="E29" s="56"/>
    </x:row>
    <x:row r="30" ht="22" customHeight="1">
      <x:c r="A30" s="56"/>
      <x:c r="B30" s="56"/>
      <x:c r="C30" s="56"/>
      <x:c r="D30" s="56"/>
      <x:c r="E30" s="56"/>
    </x:row>
    <x:row r="31" ht="22" customHeight="1">
      <x:c r="A31" s="56"/>
      <x:c r="B31" s="56"/>
      <x:c r="C31" s="56"/>
      <x:c r="D31" s="56"/>
      <x:c r="E31" s="56"/>
    </x:row>
    <x:row r="32" ht="22" customHeight="1">
      <x:c r="A32" s="56"/>
      <x:c r="B32" s="56"/>
      <x:c r="C32" s="56"/>
      <x:c r="D32" s="56"/>
      <x:c r="E32" s="56"/>
    </x:row>
    <x:row r="33" ht="22" customHeight="1">
      <x:c r="A33" s="56"/>
      <x:c r="B33" s="56"/>
      <x:c r="C33" s="56"/>
      <x:c r="D33" s="56"/>
      <x:c r="E33" s="56"/>
    </x:row>
    <x:row r="34" ht="22" customHeight="1">
      <x:c r="A34" s="56"/>
      <x:c r="B34" s="56"/>
      <x:c r="C34" s="56"/>
      <x:c r="D34" s="56"/>
      <x:c r="E34" s="56"/>
    </x:row>
    <x:row r="35" ht="22" customHeight="1">
      <x:c r="A35" s="56"/>
      <x:c r="B35" s="56"/>
      <x:c r="C35" s="56"/>
      <x:c r="D35" s="56"/>
      <x:c r="E35" s="56"/>
    </x:row>
    <x:row r="36" ht="22" customHeight="1">
      <x:c r="A36" s="56"/>
      <x:c r="B36" s="56"/>
      <x:c r="C36" s="56"/>
      <x:c r="D36" s="56"/>
      <x:c r="E36" s="56"/>
    </x:row>
    <x:row r="37" ht="22" customHeight="1">
      <x:c r="A37" s="56"/>
      <x:c r="B37" s="56"/>
      <x:c r="C37" s="56"/>
      <x:c r="D37" s="56"/>
      <x:c r="E37" s="56"/>
    </x:row>
    <x:row r="38" ht="22" customHeight="1">
      <x:c r="A38" s="56"/>
      <x:c r="B38" s="56"/>
      <x:c r="C38" s="56"/>
      <x:c r="D38" s="56"/>
      <x:c r="E38" s="56"/>
    </x:row>
    <x:row r="39" ht="22" customHeight="1">
      <x:c r="A39" s="56"/>
      <x:c r="B39" s="56"/>
      <x:c r="C39" s="56"/>
      <x:c r="D39" s="56"/>
      <x:c r="E39" s="56"/>
    </x:row>
    <x:row r="40" ht="22" customHeight="1">
      <x:c r="A40" s="56"/>
      <x:c r="B40" s="56"/>
      <x:c r="C40" s="56"/>
      <x:c r="D40" s="56"/>
      <x:c r="E40" s="56"/>
    </x:row>
    <x:row r="41" ht="22" customHeight="1">
      <x:c r="A41" s="56"/>
      <x:c r="B41" s="56"/>
      <x:c r="C41" s="56"/>
      <x:c r="D41" s="56"/>
      <x:c r="E41" s="56"/>
    </x:row>
    <x:row r="42" ht="22" customHeight="1">
      <x:c r="A42" s="56"/>
      <x:c r="B42" s="56"/>
      <x:c r="C42" s="56"/>
      <x:c r="D42" s="56"/>
      <x:c r="E42" s="56"/>
    </x:row>
    <x:row r="43" ht="22" customHeight="1">
      <x:c r="A43" s="56"/>
      <x:c r="B43" s="56"/>
      <x:c r="C43" s="56"/>
      <x:c r="D43" s="56"/>
      <x:c r="E43" s="56"/>
    </x:row>
    <x:row r="44" ht="22" customHeight="1">
      <x:c r="A44" s="56"/>
      <x:c r="B44" s="56"/>
      <x:c r="C44" s="56"/>
      <x:c r="D44" s="56"/>
      <x:c r="E44" s="56"/>
    </x:row>
    <x:row r="45" ht="22" customHeight="1">
      <x:c r="A45" s="56"/>
      <x:c r="B45" s="56"/>
      <x:c r="C45" s="56"/>
      <x:c r="D45" s="56"/>
      <x:c r="E45" s="56"/>
    </x:row>
    <x:row r="46" ht="22" customHeight="1">
      <x:c r="A46" s="56"/>
      <x:c r="B46" s="56"/>
      <x:c r="C46" s="56"/>
      <x:c r="D46" s="56"/>
      <x:c r="E46" s="56"/>
    </x:row>
    <x:row r="47" ht="22" customHeight="1">
      <x:c r="A47" s="56"/>
      <x:c r="B47" s="56"/>
      <x:c r="C47" s="56"/>
      <x:c r="D47" s="56"/>
      <x:c r="E47" s="56"/>
    </x:row>
    <x:row r="48" ht="22" customHeight="1">
      <x:c r="A48" s="56"/>
      <x:c r="B48" s="56"/>
      <x:c r="C48" s="56"/>
      <x:c r="D48" s="56"/>
      <x:c r="E48" s="56"/>
    </x:row>
    <x:row r="49" ht="22" customHeight="1">
      <x:c r="A49" s="56"/>
      <x:c r="B49" s="56"/>
      <x:c r="C49" s="56"/>
      <x:c r="D49" s="56"/>
      <x:c r="E49" s="56"/>
    </x:row>
    <x:row r="50" ht="22" customHeight="1">
      <x:c r="A50" s="56"/>
      <x:c r="B50" s="56"/>
      <x:c r="C50" s="56"/>
      <x:c r="D50" s="56"/>
      <x:c r="E50" s="56"/>
    </x:row>
    <x:row r="51" ht="22" customHeight="1">
      <x:c r="A51" s="56"/>
      <x:c r="B51" s="56"/>
      <x:c r="C51" s="56"/>
      <x:c r="D51" s="56"/>
      <x:c r="E51" s="56"/>
    </x:row>
    <x:row r="52" ht="22" customHeight="1">
      <x:c r="A52" s="56"/>
      <x:c r="B52" s="56"/>
      <x:c r="C52" s="56"/>
      <x:c r="D52" s="56"/>
      <x:c r="E52" s="56"/>
    </x:row>
    <x:row r="53" ht="22" customHeight="1">
      <x:c r="A53" s="56"/>
      <x:c r="B53" s="56"/>
      <x:c r="C53" s="56"/>
      <x:c r="D53" s="56"/>
      <x:c r="E53" s="56"/>
    </x:row>
    <x:row r="54" ht="22" customHeight="1">
      <x:c r="A54" s="56"/>
      <x:c r="B54" s="56"/>
      <x:c r="C54" s="56"/>
      <x:c r="D54" s="56"/>
      <x:c r="E54" s="56"/>
    </x:row>
    <x:row r="55" ht="22" customHeight="1">
      <x:c r="A55" s="56"/>
      <x:c r="B55" s="56"/>
      <x:c r="C55" s="56"/>
      <x:c r="D55" s="56"/>
      <x:c r="E55" s="56"/>
    </x:row>
    <x:row r="56" ht="22" customHeight="1">
      <x:c r="A56" s="56"/>
      <x:c r="B56" s="56"/>
      <x:c r="C56" s="56"/>
      <x:c r="D56" s="56"/>
      <x:c r="E56" s="56"/>
    </x:row>
    <x:row r="57" ht="22" customHeight="1">
      <x:c r="A57" s="56"/>
      <x:c r="B57" s="56"/>
      <x:c r="C57" s="56"/>
      <x:c r="D57" s="56"/>
      <x:c r="E57" s="56"/>
    </x:row>
    <x:row r="58" ht="22" customHeight="1">
      <x:c r="A58" s="56"/>
      <x:c r="B58" s="56"/>
      <x:c r="C58" s="56"/>
      <x:c r="D58" s="56"/>
      <x:c r="E58" s="56"/>
    </x:row>
    <x:row r="59" ht="22" customHeight="1">
      <x:c r="A59" s="56"/>
      <x:c r="B59" s="56"/>
      <x:c r="C59" s="56"/>
      <x:c r="D59" s="56"/>
      <x:c r="E59" s="56"/>
    </x:row>
    <x:row r="60" ht="22" customHeight="1">
      <x:c r="A60" s="56"/>
      <x:c r="B60" s="56"/>
      <x:c r="C60" s="56"/>
      <x:c r="D60" s="56"/>
      <x:c r="E60" s="56"/>
    </x:row>
  </x:sheetData>
  <x:mergeCells>
    <x:mergeCell ref="A1:E1"/>
    <x:mergeCell ref="A2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0" hidden="0" customWidth="1"/>
    <x:col min="3" max="3" width="17" hidden="0" customWidth="1"/>
    <x:col min="4" max="4" width="40" hidden="0" customWidth="1"/>
  </x:cols>
  <x:sheetData>
    <x:row r="1" ht="34" customHeight="1">
      <x:c r="A1" s="54" t="str">
        <x:v>Source and assumption ledger</x:v>
      </x:c>
      <x:c r="B1" s="54"/>
      <x:c r="C1" s="54"/>
      <x:c r="D1" s="54"/>
    </x:row>
    <x:row r="2" ht="24" customHeight="1">
      <x:c r="A2" s="55" t="str">
        <x:v>URLs support capability or tariff facts only. Research-read does not mean successfully executed or scientifically benchmarked.</x:v>
      </x:c>
      <x:c r="B2" s="55"/>
      <x:c r="C2" s="55"/>
      <x:c r="D2" s="55"/>
    </x:row>
    <x:row r="3" ht="24" customHeight="1">
      <x:c r="A3" s="55"/>
      <x:c r="B3" s="55"/>
      <x:c r="C3" s="55"/>
      <x:c r="D3" s="55"/>
    </x:row>
    <x:row r="4" ht="22" customHeight="1">
      <x:c r="A4" s="56"/>
      <x:c r="B4" s="56"/>
      <x:c r="C4" s="56"/>
      <x:c r="D4" s="56"/>
    </x:row>
    <x:row r="5" ht="32" customHeight="1">
      <x:c r="A5" s="57" t="str">
        <x:v>Topic</x:v>
      </x:c>
      <x:c r="B5" s="57" t="str">
        <x:v>Source URL</x:v>
      </x:c>
      <x:c r="C5" s="57" t="str">
        <x:v>As of</x:v>
      </x:c>
      <x:c r="D5" s="57" t="str">
        <x:v>Use</x:v>
      </x:c>
    </x:row>
    <x:row r="6" ht="47" customHeight="1">
      <x:c r="A6" s="61" t="str">
        <x:v>Eleven pricing</x:v>
      </x:c>
      <x:c r="B6" s="61" t="str">
        <x:v>https://elevenlabs.io/pricing/api</x:v>
      </x:c>
      <x:c r="C6" s="61" t="str">
        <x:v>2026-10-13</x:v>
      </x:c>
      <x:c r="D6" s="61" t="str">
        <x:v>Reference character and speech-to-speech usage rates</x:v>
      </x:c>
    </x:row>
    <x:row r="7" ht="47" customHeight="1">
      <x:c r="A7" s="61" t="str">
        <x:v>Eleven v4</x:v>
      </x:c>
      <x:c r="B7" s="61" t="str">
        <x:v>https://elevenlabs.io/docs/overview/capabilities/text-to-speech/eleven-v4</x:v>
      </x:c>
      <x:c r="C7" s="61" t="str">
        <x:v>2026-10-13</x:v>
      </x:c>
      <x:c r="D7" s="61" t="str">
        <x:v>Capabilities, differences, expression; no copied v2 settings</x:v>
      </x:c>
    </x:row>
    <x:row r="8" ht="47" customHeight="1">
      <x:c r="A8" s="61" t="str">
        <x:v>Eleven languages</x:v>
      </x:c>
      <x:c r="B8" s="61" t="str">
        <x:v>https://elevenlabs.io/docs/help-center/other/what-languages-do-you-support</x:v>
      </x:c>
      <x:c r="C8" s="61" t="str">
        <x:v>2026-10-13</x:v>
      </x:c>
      <x:c r="D8" s="61" t="str">
        <x:v>Model-specific Assamese/Hindi coverage; not native QA</x:v>
      </x:c>
    </x:row>
    <x:row r="9" ht="47" customHeight="1">
      <x:c r="A9" s="61" t="str">
        <x:v>Cartesia pricing</x:v>
      </x:c>
      <x:c r="B9" s="61" t="str">
        <x:v>https://cartesia.ai/pricing</x:v>
      </x:c>
      <x:c r="C9" s="61" t="str">
        <x:v>2026-10-13</x:v>
      </x:c>
      <x:c r="D9" s="61" t="str">
        <x:v>Plans, allowances; large usage still needs quote</x:v>
      </x:c>
    </x:row>
    <x:row r="10" ht="47" customHeight="1">
      <x:c r="A10" s="61" t="str">
        <x:v>Gemini pricing</x:v>
      </x:c>
      <x:c r="B10" s="61" t="str">
        <x:v>https://ai.google.dev/gemini-api/docs/pricing</x:v>
      </x:c>
      <x:c r="C10" s="61" t="str">
        <x:v>2026-10-13</x:v>
      </x:c>
      <x:c r="D10" s="61" t="str">
        <x:v>Current and scheduled tariff; token conversion</x:v>
      </x:c>
    </x:row>
    <x:row r="11" ht="47" customHeight="1">
      <x:c r="A11" s="61" t="str">
        <x:v>Gemini TTS</x:v>
      </x:c>
      <x:c r="B11" s="61" t="str">
        <x:v>https://ai.google.dev/gemini-api/docs/speech-generation</x:v>
      </x:c>
      <x:c r="C11" s="61" t="str">
        <x:v>2026-10-13</x:v>
      </x:c>
      <x:c r="D11" s="61" t="str">
        <x:v>Current3.8 schema and output formats</x:v>
      </x:c>
    </x:row>
    <x:row r="12" ht="47" customHeight="1">
      <x:c r="A12" s="61" t="str">
        <x:v>OpenAI lifecycle</x:v>
      </x:c>
      <x:c r="B12" s="61" t="str">
        <x:v>https://developers.openai.com/api/docs/deprecations</x:v>
      </x:c>
      <x:c r="C12" s="61" t="str">
        <x:v>2026-10-13</x:v>
      </x:c>
      <x:c r="D12" s="61" t="str">
        <x:v>New-production block for deprecated old TTS</x:v>
      </x:c>
    </x:row>
    <x:row r="13" ht="47" customHeight="1">
      <x:c r="A13" s="61" t="str">
        <x:v>OpenAI replacement</x:v>
      </x:c>
      <x:c r="B13" s="61" t="str">
        <x:v>https://developers.openai.com/api/docs/models/gpt-realtime-2.1-mini</x:v>
      </x:c>
      <x:c r="C13" s="61" t="str">
        <x:v>2026-10-13</x:v>
      </x:c>
      <x:c r="D13" s="61" t="str">
        <x:v>Replacement pricing; no drop-in guarantee</x:v>
      </x:c>
    </x:row>
    <x:row r="14" ht="47" customHeight="1">
      <x:c r="A14" s="61" t="str">
        <x:v>WhisperX</x:v>
      </x:c>
      <x:c r="B14" s="61" t="str">
        <x:v>https://github.com/m-bain/whisperX</x:v>
      </x:c>
      <x:c r="C14" s="61" t="str">
        <x:v>2026-10-13</x:v>
      </x:c>
      <x:c r="D14" s="61" t="str">
        <x:v>Word alignment boundary and language resource needs</x:v>
      </x:c>
    </x:row>
    <x:row r="15" ht="47" customHeight="1">
      <x:c r="A15" s="61" t="str">
        <x:v>MFA</x:v>
      </x:c>
      <x:c r="B15" s="61" t="str">
        <x:v>https://montreal-forced-aligner.readthedocs.io/en/latest/</x:v>
      </x:c>
      <x:c r="C15" s="61" t="str">
        <x:v>2026-10-13</x:v>
      </x:c>
      <x:c r="D15" s="61" t="str">
        <x:v>Dictionary/acoustic-model alignment pipeline</x:v>
      </x:c>
    </x:row>
    <x:row r="16" ht="47" customHeight="1">
      <x:c r="A16" s="61" t="str">
        <x:v>FFmpeg</x:v>
      </x:c>
      <x:c r="B16" s="61" t="str">
        <x:v>https://ffmpeg.org/ffmpeg-filters.html#loudnorm</x:v>
      </x:c>
      <x:c r="C16" s="61" t="str">
        <x:v>2026-10-13</x:v>
      </x:c>
      <x:c r="D16" s="61" t="str">
        <x:v>Two-pass loudness and true-peak processing</x:v>
      </x:c>
    </x:row>
    <x:row r="17" ht="47" customHeight="1">
      <x:c r="A17" s="61" t="str">
        <x:v>Local tests</x:v>
      </x:c>
      <x:c r="B17" s="61" t="str">
        <x:v>outputs/tests.txt</x:v>
      </x:c>
      <x:c r="C17" s="61" t="str">
        <x:v>2026-10-13</x:v>
      </x:c>
      <x:c r="D17" s="61" t="str">
        <x:v>57 tests; signal fixtures, not a speech-quality benchmark</x:v>
      </x:c>
    </x:row>
    <x:row r="18" ht="47" customHeight="1">
      <x:c r="A18" s="61" t="str">
        <x:v>Live auditions</x:v>
      </x:c>
      <x:c r="B18" s="61" t="str">
        <x:v>docs/Audition_and_Evaluation.md</x:v>
      </x:c>
      <x:c r="C18" s="61" t="str">
        <x:v>2026-10-13</x:v>
      </x:c>
      <x:c r="D18" s="61" t="str">
        <x:v>Two Runway outputs;18 workspace credits; no local listening score</x:v>
      </x:c>
    </x:row>
    <x:row r="19" ht="47" customHeight="1">
      <x:c r="A19" s="61" t="str">
        <x:v>Budget assumptions</x:v>
      </x:c>
      <x:c r="B19" s="61" t="str">
        <x:v>Inputs + Methods</x:v>
      </x:c>
      <x:c r="C19" s="61" t="str">
        <x:v>2026-10-13</x:v>
      </x:c>
      <x:c r="D19" s="61" t="str">
        <x:v>Workload, GPU speed/rate, personnel rates, time, fixed/setup spend are editable estimates</x:v>
      </x:c>
    </x:row>
    <x:row r="20" ht="22" customHeight="1">
      <x:c r="A20" s="56"/>
      <x:c r="B20" s="56"/>
      <x:c r="C20" s="56"/>
      <x:c r="D20" s="56"/>
    </x:row>
    <x:row r="21" ht="22" customHeight="1">
      <x:c r="A21" s="56"/>
      <x:c r="B21" s="56"/>
      <x:c r="C21" s="56"/>
      <x:c r="D21" s="56"/>
    </x:row>
    <x:row r="22" ht="22" customHeight="1">
      <x:c r="A22" s="56"/>
      <x:c r="B22" s="56"/>
      <x:c r="C22" s="56"/>
      <x:c r="D22" s="56"/>
    </x:row>
    <x:row r="23" ht="22" customHeight="1">
      <x:c r="A23" s="56"/>
      <x:c r="B23" s="56"/>
      <x:c r="C23" s="56"/>
      <x:c r="D23" s="56"/>
    </x:row>
    <x:row r="24" ht="22" customHeight="1">
      <x:c r="A24" s="56"/>
      <x:c r="B24" s="56"/>
      <x:c r="C24" s="56"/>
      <x:c r="D24" s="56"/>
    </x:row>
    <x:row r="25" ht="22" customHeight="1">
      <x:c r="A25" s="56"/>
      <x:c r="B25" s="56"/>
      <x:c r="C25" s="56"/>
      <x:c r="D25" s="56"/>
    </x:row>
    <x:row r="26" ht="22" customHeight="1">
      <x:c r="A26" s="56"/>
      <x:c r="B26" s="56"/>
      <x:c r="C26" s="56"/>
      <x:c r="D26" s="56"/>
    </x:row>
    <x:row r="27" ht="22" customHeight="1">
      <x:c r="A27" s="56"/>
      <x:c r="B27" s="56"/>
      <x:c r="C27" s="56"/>
      <x:c r="D27" s="56"/>
    </x:row>
    <x:row r="28" ht="22" customHeight="1">
      <x:c r="A28" s="56"/>
      <x:c r="B28" s="56"/>
      <x:c r="C28" s="56"/>
      <x:c r="D28" s="56"/>
    </x:row>
    <x:row r="29" ht="22" customHeight="1">
      <x:c r="A29" s="56"/>
      <x:c r="B29" s="56"/>
      <x:c r="C29" s="56"/>
      <x:c r="D29" s="56"/>
    </x:row>
    <x:row r="30" ht="22" customHeight="1">
      <x:c r="A30" s="56"/>
      <x:c r="B30" s="56"/>
      <x:c r="C30" s="56"/>
      <x:c r="D30" s="56"/>
    </x:row>
    <x:row r="31" ht="22" customHeight="1">
      <x:c r="A31" s="56"/>
      <x:c r="B31" s="56"/>
      <x:c r="C31" s="56"/>
      <x:c r="D31" s="56"/>
    </x:row>
    <x:row r="32" ht="22" customHeight="1">
      <x:c r="A32" s="56"/>
      <x:c r="B32" s="56"/>
      <x:c r="C32" s="56"/>
      <x:c r="D32" s="56"/>
    </x:row>
    <x:row r="33" ht="22" customHeight="1">
      <x:c r="A33" s="56"/>
      <x:c r="B33" s="56"/>
      <x:c r="C33" s="56"/>
      <x:c r="D33" s="56"/>
    </x:row>
    <x:row r="34" ht="22" customHeight="1">
      <x:c r="A34" s="56"/>
      <x:c r="B34" s="56"/>
      <x:c r="C34" s="56"/>
      <x:c r="D34" s="56"/>
    </x:row>
    <x:row r="35" ht="22" customHeight="1">
      <x:c r="A35" s="56"/>
      <x:c r="B35" s="56"/>
      <x:c r="C35" s="56"/>
      <x:c r="D35" s="56"/>
    </x:row>
    <x:row r="36" ht="22" customHeight="1">
      <x:c r="A36" s="56"/>
      <x:c r="B36" s="56"/>
      <x:c r="C36" s="56"/>
      <x:c r="D36" s="56"/>
    </x:row>
    <x:row r="37" ht="22" customHeight="1">
      <x:c r="A37" s="56"/>
      <x:c r="B37" s="56"/>
      <x:c r="C37" s="56"/>
      <x:c r="D37" s="56"/>
    </x:row>
    <x:row r="38" ht="22" customHeight="1">
      <x:c r="A38" s="56"/>
      <x:c r="B38" s="56"/>
      <x:c r="C38" s="56"/>
      <x:c r="D38" s="56"/>
    </x:row>
    <x:row r="39" ht="22" customHeight="1">
      <x:c r="A39" s="56"/>
      <x:c r="B39" s="56"/>
      <x:c r="C39" s="56"/>
      <x:c r="D39" s="56"/>
    </x:row>
    <x:row r="40" ht="22" customHeight="1">
      <x:c r="A40" s="56"/>
      <x:c r="B40" s="56"/>
      <x:c r="C40" s="56"/>
      <x:c r="D40" s="56"/>
    </x:row>
    <x:row r="41" ht="22" customHeight="1">
      <x:c r="A41" s="56"/>
      <x:c r="B41" s="56"/>
      <x:c r="C41" s="56"/>
      <x:c r="D41" s="56"/>
    </x:row>
    <x:row r="42" ht="22" customHeight="1">
      <x:c r="A42" s="56"/>
      <x:c r="B42" s="56"/>
      <x:c r="C42" s="56"/>
      <x:c r="D42" s="56"/>
    </x:row>
    <x:row r="43" ht="22" customHeight="1">
      <x:c r="A43" s="56"/>
      <x:c r="B43" s="56"/>
      <x:c r="C43" s="56"/>
      <x:c r="D43" s="56"/>
    </x:row>
    <x:row r="44" ht="22" customHeight="1">
      <x:c r="A44" s="56"/>
      <x:c r="B44" s="56"/>
      <x:c r="C44" s="56"/>
      <x:c r="D44" s="56"/>
    </x:row>
    <x:row r="45" ht="22" customHeight="1">
      <x:c r="A45" s="56"/>
      <x:c r="B45" s="56"/>
      <x:c r="C45" s="56"/>
      <x:c r="D45" s="56"/>
    </x:row>
    <x:row r="46" ht="22" customHeight="1">
      <x:c r="A46" s="56"/>
      <x:c r="B46" s="56"/>
      <x:c r="C46" s="56"/>
      <x:c r="D46" s="56"/>
    </x:row>
    <x:row r="47" ht="22" customHeight="1">
      <x:c r="A47" s="56"/>
      <x:c r="B47" s="56"/>
      <x:c r="C47" s="56"/>
      <x:c r="D47" s="56"/>
    </x:row>
    <x:row r="48" ht="22" customHeight="1">
      <x:c r="A48" s="56"/>
      <x:c r="B48" s="56"/>
      <x:c r="C48" s="56"/>
      <x:c r="D48" s="56"/>
    </x:row>
    <x:row r="49" ht="22" customHeight="1">
      <x:c r="A49" s="56"/>
      <x:c r="B49" s="56"/>
      <x:c r="C49" s="56"/>
      <x:c r="D49" s="56"/>
    </x:row>
    <x:row r="50" ht="22" customHeight="1">
      <x:c r="A50" s="56"/>
      <x:c r="B50" s="56"/>
      <x:c r="C50" s="56"/>
      <x:c r="D50" s="56"/>
    </x:row>
    <x:row r="51" ht="22" customHeight="1">
      <x:c r="A51" s="56"/>
      <x:c r="B51" s="56"/>
      <x:c r="C51" s="56"/>
      <x:c r="D51" s="56"/>
    </x:row>
    <x:row r="52" ht="22" customHeight="1">
      <x:c r="A52" s="56"/>
      <x:c r="B52" s="56"/>
      <x:c r="C52" s="56"/>
      <x:c r="D52" s="56"/>
    </x:row>
    <x:row r="53" ht="22" customHeight="1">
      <x:c r="A53" s="56"/>
      <x:c r="B53" s="56"/>
      <x:c r="C53" s="56"/>
      <x:c r="D53" s="56"/>
    </x:row>
    <x:row r="54" ht="22" customHeight="1">
      <x:c r="A54" s="56"/>
      <x:c r="B54" s="56"/>
      <x:c r="C54" s="56"/>
      <x:c r="D54" s="56"/>
    </x:row>
    <x:row r="55" ht="22" customHeight="1">
      <x:c r="A55" s="56"/>
      <x:c r="B55" s="56"/>
      <x:c r="C55" s="56"/>
      <x:c r="D55" s="56"/>
    </x:row>
    <x:row r="56" ht="22" customHeight="1">
      <x:c r="A56" s="56"/>
      <x:c r="B56" s="56"/>
      <x:c r="C56" s="56"/>
      <x:c r="D56" s="56"/>
    </x:row>
    <x:row r="57" ht="22" customHeight="1">
      <x:c r="A57" s="56"/>
      <x:c r="B57" s="56"/>
      <x:c r="C57" s="56"/>
      <x:c r="D57" s="56"/>
    </x:row>
    <x:row r="58" ht="22" customHeight="1">
      <x:c r="A58" s="56"/>
      <x:c r="B58" s="56"/>
      <x:c r="C58" s="56"/>
      <x:c r="D58" s="56"/>
    </x:row>
    <x:row r="59" ht="22" customHeight="1">
      <x:c r="A59" s="56"/>
      <x:c r="B59" s="56"/>
      <x:c r="C59" s="56"/>
      <x:c r="D59" s="56"/>
    </x:row>
    <x:row r="60" ht="22" customHeight="1">
      <x:c r="A60" s="56"/>
      <x:c r="B60" s="56"/>
      <x:c r="C60" s="56"/>
      <x:c r="D60" s="56"/>
    </x:row>
  </x:sheetData>
  <x:mergeCells>
    <x:mergeCell ref="A1:D1"/>
    <x:mergeCell ref="A2:D3"/>
  </x:mergeCells>
  <x:pageMargins left="0.7" right="0.7" top="0.75" bottom="0.75" header="0.3" footer="0.3"/>
</x:worksheet>
</file>