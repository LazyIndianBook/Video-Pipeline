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8593c2548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2c1db5b9211420a"/>
    <x:sheet xmlns:r="http://schemas.openxmlformats.org/officeDocument/2006/relationships" name="UnitCosts" sheetId="2" r:id="Ra6a1e60949874d11"/>
    <x:sheet xmlns:r="http://schemas.openxmlformats.org/officeDocument/2006/relationships" name="Volumes" sheetId="3" r:id="R453036eb81604fbd"/>
    <x:sheet xmlns:r="http://schemas.openxmlformats.org/officeDocument/2006/relationships" name="CustomSkills" sheetId="4" r:id="R90646ceeba0c4b21"/>
    <x:sheet xmlns:r="http://schemas.openxmlformats.org/officeDocument/2006/relationships" name="ExistingSkills" sheetId="5" r:id="R18df28c7d76746bc"/>
    <x:sheet xmlns:r="http://schemas.openxmlformats.org/officeDocument/2006/relationships" name="ReadMe" sheetId="6" r:id="R173ca66a476a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&quot;-&quot;"/>
    <x:numFmt numFmtId="201" formatCode="0%"/>
    <x:numFmt numFmtId="202" formatCode="0.000000000"/>
    <x:numFmt numFmtId="203" formatCode="$#,##0.00;[Red]($#,##0.00);&quot;-&quot;"/>
    <x:numFmt numFmtId="204" formatCode="0.0%"/>
    <x:numFmt numFmtId="205" formatCode="#,##0;[Red](#,##0);&quot;-&quot;"/>
  </x:numFmts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526074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087986"/>
      </x:patternFill>
    </x:fill>
    <x:fill>
      <x:patternFill patternType="solid">
        <x:fgColor rgb="FFFFF5CF"/>
      </x:patternFill>
    </x:fill>
    <x:fill>
      <x:patternFill patternType="solid">
        <x:fgColor rgb="FFE7EEF5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2" fontId="4" fillId="4" borderId="0" xfId="0" applyNumberFormat="1" applyFont="1" applyFill="1" applyBorder="1" applyAlignment="1">
      <x:alignment wrapText="1"/>
    </x:xf>
    <x:xf numFmtId="202" fontId="4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3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3" fontId="6" fillId="5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3" fontId="8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203" fontId="8" fillId="5" borderId="1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wrapText="1"/>
    </x:xf>
    <x:xf numFmtId="203" fontId="5" fillId="5" borderId="1" xfId="0" applyNumberFormat="1" applyFont="1" applyFill="1" applyBorder="1" applyAlignment="1">
      <x:alignment wrapText="1"/>
    </x:xf>
    <x:xf numFmtId="203" fontId="9" fillId="5" borderId="0" xfId="0" applyNumberFormat="1" applyFont="1" applyFill="1" applyBorder="1" applyAlignment="1">
      <x:alignment wrapText="1"/>
    </x:xf>
    <x:xf numFmtId="203" fontId="9" fillId="5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5" fillId="0" borderId="1" xfId="0" applyNumberFormat="1" applyFont="1" applyFill="1" applyBorder="1"/>
    <x:xf numFmtId="203" fontId="6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0" fontId="0" fillId="5" borderId="0" xfId="0" applyNumberFormat="1" applyFont="1" applyFill="1" applyBorder="1"/>
    <x:xf numFmtId="203" fontId="6" fillId="5" borderId="0" xfId="0" applyNumberFormat="1" applyFont="1" applyFill="1" applyBorder="1"/>
    <x:xf numFmtId="0" fontId="7" fillId="5" borderId="0" xfId="0" applyNumberFormat="1" applyFont="1" applyFill="1" applyBorder="1"/>
    <x:xf numFmtId="203" fontId="8" fillId="5" borderId="0" xfId="0" applyNumberFormat="1" applyFont="1" applyFill="1" applyBorder="1"/>
    <x:xf numFmtId="0" fontId="0" fillId="5" borderId="1" xfId="0" applyNumberFormat="1" applyFont="1" applyFill="1" applyBorder="1"/>
    <x:xf numFmtId="203" fontId="6" fillId="5" borderId="1" xfId="0" applyNumberFormat="1" applyFont="1" applyFill="1" applyBorder="1"/>
    <x:xf numFmtId="0" fontId="7" fillId="5" borderId="1" xfId="0" applyNumberFormat="1" applyFont="1" applyFill="1" applyBorder="1"/>
    <x:xf numFmtId="203" fontId="8" fillId="5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b9eb444064789" /><Relationship Type="http://schemas.openxmlformats.org/officeDocument/2006/relationships/theme" Target="/xl/theme/theme1.xml" Id="Re68e11a1721e4027" /><Relationship Type="http://schemas.openxmlformats.org/officeDocument/2006/relationships/sharedStrings" Target="/xl/sharedStrings.xml" Id="Rd93d3649e2d34388" /><Relationship Type="http://schemas.openxmlformats.org/officeDocument/2006/relationships/worksheet" Target="/xl/worksheets/sheet1.xml" Id="R22c1db5b9211420a" /><Relationship Type="http://schemas.openxmlformats.org/officeDocument/2006/relationships/worksheet" Target="/xl/worksheets/sheet2.xml" Id="Ra6a1e60949874d11" /><Relationship Type="http://schemas.openxmlformats.org/officeDocument/2006/relationships/worksheet" Target="/xl/worksheets/sheet3.xml" Id="R453036eb81604fbd" /><Relationship Type="http://schemas.openxmlformats.org/officeDocument/2006/relationships/worksheet" Target="/xl/worksheets/sheet4.xml" Id="R90646ceeba0c4b21" /><Relationship Type="http://schemas.openxmlformats.org/officeDocument/2006/relationships/worksheet" Target="/xl/worksheets/sheet5.xml" Id="R18df28c7d76746bc" /><Relationship Type="http://schemas.openxmlformats.org/officeDocument/2006/relationships/worksheet" Target="/xl/worksheets/sheet6.xml" Id="R173ca66a476a4b6d" /></Relationships>
</file>

<file path=xl/tables/table1.xml><?xml version="1.0" encoding="utf-8"?>
<x:table xmlns:x="http://schemas.openxmlformats.org/spreadsheetml/2006/main" id="1" name="ExamLeafCustomSkills" displayName="ExamLeafCustomSkills" ref="A4:H44" headerRowCount="1" totalsRowCount="0" totalsRowShown="0">
  <x:tableColumns count="8">
    <x:tableColumn id="1" name="ID"/>
    <x:tableColumn id="2" name="Custom Skill"/>
    <x:tableColumn id="3" name="Workstream"/>
    <x:tableColumn id="4" name="Priority"/>
    <x:tableColumn id="5" name="Status"/>
    <x:tableColumn id="6" name="Inputs"/>
    <x:tableColumn id="7" name="Outputs"/>
    <x:tableColumn id="8" name="Release test /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LeafExistingSkills" displayName="ExamLeafExistingSkills" ref="A4:F10" headerRowCount="1" totalsRowCount="0" totalsRowShown="0">
  <x:tableColumns count="6">
    <x:tableColumn id="1" name="Maintainer"/>
    <x:tableColumn id="2" name="Selected existing resources"/>
    <x:tableColumn id="3" name="Use"/>
    <x:tableColumn id="4" name="Caveat / licensing"/>
    <x:tableColumn id="5" name="Repository / docs"/>
    <x:tableColumn id="6" name="Verified manifest / 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8ced7fc3c4041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f4d4f6a34264d6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1" hidden="0" customWidth="1"/>
    <x:col min="2" max="2" width="17" hidden="0" customWidth="1"/>
    <x:col min="3" max="3" width="42" hidden="0" customWidth="1"/>
    <x:col min="4" max="4" width="80" hidden="0" customWidth="1"/>
  </x:cols>
  <x:sheetData>
    <x:row r="1" ht="36" customHeight="1">
      <x:c r="A1" s="3" t="str">
        <x:v>EXAMLEAF | MODEL INPUTS</x:v>
      </x:c>
      <x:c r="B1" s="3"/>
      <x:c r="C1" s="3"/>
      <x:c r="D1" s="3"/>
    </x:row>
    <x:row r="2" ht="40" customHeight="1">
      <x:c r="A2" s="7" t="str">
        <x:v>Verified 13 October 2026. Blue values are editable. USD, before taxes. Sources and estimate status are explicit.</x:v>
      </x:c>
      <x:c r="B2" s="7"/>
      <x:c r="C2" s="7"/>
      <x:c r="D2" s="7"/>
    </x:row>
    <x:row r="4" ht="28" customHeight="1">
      <x:c r="A4" s="12" t="str">
        <x:v>Assumption / rate</x:v>
      </x:c>
      <x:c r="B4" s="12" t="str">
        <x:v>Value</x:v>
      </x:c>
      <x:c r="C4" s="12" t="str">
        <x:v>Units / qualification</x:v>
      </x:c>
      <x:c r="D4" s="12" t="str">
        <x:v>Source</x:v>
      </x:c>
    </x:row>
    <x:row r="5" ht="38" customHeight="1">
      <x:c r="A5" s="16" t="str">
        <x:v>Video duration</x:v>
      </x:c>
      <x:c r="B5" s="22" t="n">
        <x:v>10</x:v>
      </x:c>
      <x:c r="C5" s="16" t="str">
        <x:v>minutes</x:v>
      </x:c>
      <x:c r="D5" s="16" t="str">
        <x:v>ExamLeaf planning assumption; not a benchmark or supplier quote.</x:v>
      </x:c>
    </x:row>
    <x:row r="6" ht="38" customHeight="1">
      <x:c r="A6" s="16" t="str">
        <x:v>Narration characters</x:v>
      </x:c>
      <x:c r="B6" s="22" t="n">
        <x:v>8000</x:v>
      </x:c>
      <x:c r="C6" s="16" t="str">
        <x:v>characters/video</x:v>
      </x:c>
      <x:c r="D6" s="16" t="str">
        <x:v>ExamLeaf planning assumption; not a benchmark or supplier quote.</x:v>
      </x:c>
    </x:row>
    <x:row r="7" ht="38" customHeight="1">
      <x:c r="A7" s="16" t="str">
        <x:v>TTS regeneration allowance</x:v>
      </x:c>
      <x:c r="B7" s="24" t="n">
        <x:v>0.2</x:v>
      </x:c>
      <x:c r="C7" s="16" t="str">
        <x:v>fraction</x:v>
      </x:c>
      <x:c r="D7" s="16" t="str">
        <x:v>ExamLeaf planning assumption; not a benchmark or supplier quote.</x:v>
      </x:c>
    </x:row>
    <x:row r="8" ht="38" customHeight="1">
      <x:c r="A8" s="16" t="str">
        <x:v>TTS standard price</x:v>
      </x:c>
      <x:c r="B8" s="22" t="n">
        <x:v>0.08</x:v>
      </x:c>
      <x:c r="C8" s="16" t="str">
        <x:v>USD/1,000 characters</x:v>
      </x:c>
      <x:c r="D8" s="16" t="str">
        <x:v>https://elevenlabs.io/pricing/api</x:v>
      </x:c>
    </x:row>
    <x:row r="9" ht="38" customHeight="1">
      <x:c r="A9" s="16" t="str">
        <x:v>Haiku input budget</x:v>
      </x:c>
      <x:c r="B9" s="22" t="n">
        <x:v>30000</x:v>
      </x:c>
      <x:c r="C9" s="16" t="str">
        <x:v>tokens/video</x:v>
      </x:c>
      <x:c r="D9" s="16" t="str">
        <x:v>ExamLeaf planning assumption; not a benchmark or supplier quote.</x:v>
      </x:c>
    </x:row>
    <x:row r="10" ht="38" customHeight="1">
      <x:c r="A10" s="16" t="str">
        <x:v>Haiku output budget</x:v>
      </x:c>
      <x:c r="B10" s="22" t="n">
        <x:v>5000</x:v>
      </x:c>
      <x:c r="C10" s="16" t="str">
        <x:v>tokens/video</x:v>
      </x:c>
      <x:c r="D10" s="16" t="str">
        <x:v>ExamLeaf planning assumption; not a benchmark or supplier quote.</x:v>
      </x:c>
    </x:row>
    <x:row r="11" ht="38" customHeight="1">
      <x:c r="A11" s="16" t="str">
        <x:v>Haiku input price</x:v>
      </x:c>
      <x:c r="B11" s="22" t="n">
        <x:v>0.1</x:v>
      </x:c>
      <x:c r="C11" s="16" t="str">
        <x:v>USD/million tokens</x:v>
      </x:c>
      <x:c r="D11" s="16" t="str">
        <x:v>https://platform.claude.com/docs/en/about-claude/pricing</x:v>
      </x:c>
    </x:row>
    <x:row r="12" ht="38" customHeight="1">
      <x:c r="A12" s="16" t="str">
        <x:v>Haiku output price</x:v>
      </x:c>
      <x:c r="B12" s="22" t="n">
        <x:v>0.5</x:v>
      </x:c>
      <x:c r="C12" s="16" t="str">
        <x:v>USD/million tokens</x:v>
      </x:c>
      <x:c r="D12" s="16" t="str">
        <x:v>https://platform.claude.com/docs/en/about-claude/pricing</x:v>
      </x:c>
    </x:row>
    <x:row r="13" ht="38" customHeight="1">
      <x:c r="A13" s="16" t="str">
        <x:v>Sonnet input budget</x:v>
      </x:c>
      <x:c r="B13" s="22" t="n">
        <x:v>120000</x:v>
      </x:c>
      <x:c r="C13" s="16" t="str">
        <x:v>tokens/video</x:v>
      </x:c>
      <x:c r="D13" s="16" t="str">
        <x:v>ExamLeaf planning assumption; not a benchmark or supplier quote.</x:v>
      </x:c>
    </x:row>
    <x:row r="14" ht="38" customHeight="1">
      <x:c r="A14" s="16" t="str">
        <x:v>Sonnet output budget</x:v>
      </x:c>
      <x:c r="B14" s="22" t="n">
        <x:v>25000</x:v>
      </x:c>
      <x:c r="C14" s="16" t="str">
        <x:v>tokens/video</x:v>
      </x:c>
      <x:c r="D14" s="16" t="str">
        <x:v>ExamLeaf planning assumption; not a benchmark or supplier quote.</x:v>
      </x:c>
    </x:row>
    <x:row r="15" ht="38" customHeight="1">
      <x:c r="A15" s="16" t="str">
        <x:v>Sonnet input price</x:v>
      </x:c>
      <x:c r="B15" s="22" t="n">
        <x:v>2</x:v>
      </x:c>
      <x:c r="C15" s="16" t="str">
        <x:v>USD/million tokens</x:v>
      </x:c>
      <x:c r="D15" s="16" t="str">
        <x:v>https://platform.claude.com/docs/en/about-claude/pricing</x:v>
      </x:c>
    </x:row>
    <x:row r="16" ht="38" customHeight="1">
      <x:c r="A16" s="16" t="str">
        <x:v>Sonnet output price</x:v>
      </x:c>
      <x:c r="B16" s="22" t="n">
        <x:v>10</x:v>
      </x:c>
      <x:c r="C16" s="16" t="str">
        <x:v>USD/million tokens</x:v>
      </x:c>
      <x:c r="D16" s="16" t="str">
        <x:v>https://platform.claude.com/docs/en/about-claude/pricing</x:v>
      </x:c>
    </x:row>
    <x:row r="17" ht="38" customHeight="1">
      <x:c r="A17" s="16" t="str">
        <x:v>Sol input budget</x:v>
      </x:c>
      <x:c r="B17" s="22" t="n">
        <x:v>60000</x:v>
      </x:c>
      <x:c r="C17" s="16" t="str">
        <x:v>tokens/video</x:v>
      </x:c>
      <x:c r="D17" s="16" t="str">
        <x:v>ExamLeaf planning assumption; not a benchmark or supplier quote.</x:v>
      </x:c>
    </x:row>
    <x:row r="18" ht="38" customHeight="1">
      <x:c r="A18" s="16" t="str">
        <x:v>Sol output budget</x:v>
      </x:c>
      <x:c r="B18" s="22" t="n">
        <x:v>10000</x:v>
      </x:c>
      <x:c r="C18" s="16" t="str">
        <x:v>tokens/video</x:v>
      </x:c>
      <x:c r="D18" s="16" t="str">
        <x:v>ExamLeaf planning assumption; not a benchmark or supplier quote.</x:v>
      </x:c>
    </x:row>
    <x:row r="19" ht="38" customHeight="1">
      <x:c r="A19" s="16" t="str">
        <x:v>Sol input price</x:v>
      </x:c>
      <x:c r="B19" s="22" t="n">
        <x:v>2</x:v>
      </x:c>
      <x:c r="C19" s="16" t="str">
        <x:v>USD/million tokens</x:v>
      </x:c>
      <x:c r="D19" s="16" t="str">
        <x:v>https://developers.openai.com/api/docs/pricing</x:v>
      </x:c>
    </x:row>
    <x:row r="20" ht="38" customHeight="1">
      <x:c r="A20" s="16" t="str">
        <x:v>Sol output price</x:v>
      </x:c>
      <x:c r="B20" s="22" t="n">
        <x:v>10</x:v>
      </x:c>
      <x:c r="C20" s="16" t="str">
        <x:v>USD/million tokens</x:v>
      </x:c>
      <x:c r="D20" s="16" t="str">
        <x:v>https://developers.openai.com/api/docs/pricing</x:v>
      </x:c>
    </x:row>
    <x:row r="21" ht="38" customHeight="1">
      <x:c r="A21" s="16" t="str">
        <x:v>Opus escalation input allowance</x:v>
      </x:c>
      <x:c r="B21" s="22" t="n">
        <x:v>10000</x:v>
      </x:c>
      <x:c r="C21" s="16" t="str">
        <x:v>amortized tokens/video</x:v>
      </x:c>
      <x:c r="D21" s="16" t="str">
        <x:v>ExamLeaf planning assumption; not a benchmark or supplier quote.</x:v>
      </x:c>
    </x:row>
    <x:row r="22" ht="38" customHeight="1">
      <x:c r="A22" s="16" t="str">
        <x:v>Opus escalation output allowance</x:v>
      </x:c>
      <x:c r="B22" s="22" t="n">
        <x:v>2000</x:v>
      </x:c>
      <x:c r="C22" s="16" t="str">
        <x:v>amortized tokens/video</x:v>
      </x:c>
      <x:c r="D22" s="16" t="str">
        <x:v>ExamLeaf planning assumption; not a benchmark or supplier quote.</x:v>
      </x:c>
    </x:row>
    <x:row r="23" ht="38" customHeight="1">
      <x:c r="A23" s="16" t="str">
        <x:v>Opus input price</x:v>
      </x:c>
      <x:c r="B23" s="22" t="n">
        <x:v>4</x:v>
      </x:c>
      <x:c r="C23" s="16" t="str">
        <x:v>USD/million tokens</x:v>
      </x:c>
      <x:c r="D23" s="16" t="str">
        <x:v>https://platform.claude.com/docs/en/about-claude/pricing</x:v>
      </x:c>
    </x:row>
    <x:row r="24" ht="38" customHeight="1">
      <x:c r="A24" s="16" t="str">
        <x:v>Opus output price</x:v>
      </x:c>
      <x:c r="B24" s="22" t="n">
        <x:v>20</x:v>
      </x:c>
      <x:c r="C24" s="16" t="str">
        <x:v>USD/million tokens</x:v>
      </x:c>
      <x:c r="D24" s="16" t="str">
        <x:v>https://platform.claude.com/docs/en/about-claude/pricing</x:v>
      </x:c>
    </x:row>
    <x:row r="25" ht="38" customHeight="1">
      <x:c r="A25" s="16" t="str">
        <x:v>LLM regeneration allowance</x:v>
      </x:c>
      <x:c r="B25" s="24" t="n">
        <x:v>0.3</x:v>
      </x:c>
      <x:c r="C25" s="16" t="str">
        <x:v>fraction</x:v>
      </x:c>
      <x:c r="D25" s="16" t="str">
        <x:v>ExamLeaf planning assumption; not a benchmark or supplier quote.</x:v>
      </x:c>
    </x:row>
    <x:row r="26" ht="38" customHeight="1">
      <x:c r="A26" s="16" t="str">
        <x:v>Worker vCPU</x:v>
      </x:c>
      <x:c r="B26" s="22" t="n">
        <x:v>8</x:v>
      </x:c>
      <x:c r="C26" s="16" t="str">
        <x:v>vCPU</x:v>
      </x:c>
      <x:c r="D26" s="16" t="str">
        <x:v>ExamLeaf planning assumption; not a benchmark or supplier quote.</x:v>
      </x:c>
    </x:row>
    <x:row r="27" ht="38" customHeight="1">
      <x:c r="A27" s="16" t="str">
        <x:v>Worker RAM</x:v>
      </x:c>
      <x:c r="B27" s="22" t="n">
        <x:v>16</x:v>
      </x:c>
      <x:c r="C27" s="16" t="str">
        <x:v>GB</x:v>
      </x:c>
      <x:c r="D27" s="16" t="str">
        <x:v>ExamLeaf planning assumption; not a benchmark or supplier quote.</x:v>
      </x:c>
    </x:row>
    <x:row r="28" ht="38" customHeight="1">
      <x:c r="A28" s="16" t="str">
        <x:v>Render wall time</x:v>
      </x:c>
      <x:c r="B28" s="22" t="n">
        <x:v>45</x:v>
      </x:c>
      <x:c r="C28" s="16" t="str">
        <x:v>worker minutes/video</x:v>
      </x:c>
      <x:c r="D28" s="16" t="str">
        <x:v>ExamLeaf planning assumption; not a benchmark or supplier quote.</x:v>
      </x:c>
    </x:row>
    <x:row r="29" ht="38" customHeight="1">
      <x:c r="A29" s="16" t="str">
        <x:v>Render retry allowance</x:v>
      </x:c>
      <x:c r="B29" s="24" t="n">
        <x:v>0.2</x:v>
      </x:c>
      <x:c r="C29" s="16" t="str">
        <x:v>fraction</x:v>
      </x:c>
      <x:c r="D29" s="16" t="str">
        <x:v>ExamLeaf planning assumption; not a benchmark or supplier quote.</x:v>
      </x:c>
    </x:row>
    <x:row r="30" ht="38" customHeight="1">
      <x:c r="A30" s="16" t="str">
        <x:v>CPU price</x:v>
      </x:c>
      <x:c r="B30" s="26" t="n">
        <x:v>0.000011244</x:v>
      </x:c>
      <x:c r="C30" s="16" t="str">
        <x:v>USD/vCPU-second; US East example</x:v>
      </x:c>
      <x:c r="D30" s="16" t="str">
        <x:v>https://aws.amazon.com/fargate/pricing/</x:v>
      </x:c>
    </x:row>
    <x:row r="31" ht="38" customHeight="1">
      <x:c r="A31" s="16" t="str">
        <x:v>RAM price</x:v>
      </x:c>
      <x:c r="B31" s="26" t="n">
        <x:v>0.000001235</x:v>
      </x:c>
      <x:c r="C31" s="16" t="str">
        <x:v>USD/GB-second; US East example</x:v>
      </x:c>
      <x:c r="D31" s="16" t="str">
        <x:v>https://aws.amazon.com/fargate/pricing/</x:v>
      </x:c>
    </x:row>
    <x:row r="32" ht="38" customHeight="1">
      <x:c r="A32" s="16" t="str">
        <x:v>ASR validation price</x:v>
      </x:c>
      <x:c r="B32" s="22" t="n">
        <x:v>0.003</x:v>
      </x:c>
      <x:c r="C32" s="16" t="str">
        <x:v>USD/minute</x:v>
      </x:c>
      <x:c r="D32" s="16" t="str">
        <x:v>https://developers.openai.com/api/docs/pricing</x:v>
      </x:c>
    </x:row>
    <x:row r="33" ht="38" customHeight="1">
      <x:c r="A33" s="16" t="str">
        <x:v>Retained working assets</x:v>
      </x:c>
      <x:c r="B33" s="22" t="n">
        <x:v>2</x:v>
      </x:c>
      <x:c r="C33" s="16" t="str">
        <x:v>GB/video</x:v>
      </x:c>
      <x:c r="D33" s="16" t="str">
        <x:v>ExamLeaf planning assumption; not a benchmark or supplier quote.</x:v>
      </x:c>
    </x:row>
    <x:row r="34" ht="38" customHeight="1">
      <x:c r="A34" s="16" t="str">
        <x:v>Storage price</x:v>
      </x:c>
      <x:c r="B34" s="22" t="n">
        <x:v>0.015</x:v>
      </x:c>
      <x:c r="C34" s="16" t="str">
        <x:v>USD/GB-month</x:v>
      </x:c>
      <x:c r="D34" s="16" t="str">
        <x:v>https://developers.cloudflare.com/r2/pricing/</x:v>
      </x:c>
    </x:row>
    <x:row r="35" ht="38" customHeight="1">
      <x:c r="A35" s="16" t="str">
        <x:v>Storage duration</x:v>
      </x:c>
      <x:c r="B35" s="22" t="n">
        <x:v>1</x:v>
      </x:c>
      <x:c r="C35" s="16" t="str">
        <x:v>months</x:v>
      </x:c>
      <x:c r="D35" s="16" t="str">
        <x:v>ExamLeaf planning assumption; not a benchmark or supplier quote.</x:v>
      </x:c>
    </x:row>
    <x:row r="36" ht="38" customHeight="1">
      <x:c r="A36" s="16" t="str">
        <x:v>Miscellaneous API / request reserve</x:v>
      </x:c>
      <x:c r="B36" s="22" t="n">
        <x:v>0.15</x:v>
      </x:c>
      <x:c r="C36" s="16" t="str">
        <x:v>USD/video</x:v>
      </x:c>
      <x:c r="D36" s="16" t="str">
        <x:v>ExamLeaf planning assumption; not a benchmark or supplier quote.</x:v>
      </x:c>
    </x:row>
    <x:row r="37" ht="38" customHeight="1">
      <x:c r="A37" s="16" t="str">
        <x:v>Academic review time</x:v>
      </x:c>
      <x:c r="B37" s="22" t="n">
        <x:v>45</x:v>
      </x:c>
      <x:c r="C37" s="16" t="str">
        <x:v>minutes/video</x:v>
      </x:c>
      <x:c r="D37" s="16" t="str">
        <x:v>ExamLeaf planning assumption; not a benchmark or supplier quote.</x:v>
      </x:c>
    </x:row>
    <x:row r="38" ht="38" customHeight="1">
      <x:c r="A38" s="16" t="str">
        <x:v>Academic reviewer rate</x:v>
      </x:c>
      <x:c r="B38" s="22" t="n">
        <x:v>20</x:v>
      </x:c>
      <x:c r="C38" s="16" t="str">
        <x:v>USD/hour</x:v>
      </x:c>
      <x:c r="D38" s="16" t="str">
        <x:v>ExamLeaf planning assumption; not a benchmark or supplier quote.</x:v>
      </x:c>
    </x:row>
    <x:row r="39" ht="38" customHeight="1">
      <x:c r="A39" s="16" t="str">
        <x:v>Production QA time</x:v>
      </x:c>
      <x:c r="B39" s="22" t="n">
        <x:v>15</x:v>
      </x:c>
      <x:c r="C39" s="16" t="str">
        <x:v>minutes/video</x:v>
      </x:c>
      <x:c r="D39" s="16" t="str">
        <x:v>ExamLeaf planning assumption; not a benchmark or supplier quote.</x:v>
      </x:c>
    </x:row>
    <x:row r="40" ht="38" customHeight="1">
      <x:c r="A40" s="16" t="str">
        <x:v>Production QA rate</x:v>
      </x:c>
      <x:c r="B40" s="22" t="n">
        <x:v>12</x:v>
      </x:c>
      <x:c r="C40" s="16" t="str">
        <x:v>USD/hour</x:v>
      </x:c>
      <x:c r="D40" s="16" t="str">
        <x:v>ExamLeaf planning assumption; not a benchmark or supplier quote.</x:v>
      </x:c>
    </x:row>
    <x:row r="41" ht="38" customHeight="1">
      <x:c r="A41" s="16" t="str">
        <x:v>Fixed infrastructure / tools</x:v>
      </x:c>
      <x:c r="B41" s="22" t="n">
        <x:v>100</x:v>
      </x:c>
      <x:c r="C41" s="16" t="str">
        <x:v>USD/month; allowance</x:v>
      </x:c>
      <x:c r="D41" s="16" t="str">
        <x:v>ExamLeaf planning assumption; not a benchmark or supplier quote.</x:v>
      </x:c>
    </x:row>
    <x:row r="42" ht="38" customHeight="1">
      <x:c r="A42" s="16" t="str">
        <x:v>Maintenance engineering time</x:v>
      </x:c>
      <x:c r="B42" s="22" t="n">
        <x:v>4</x:v>
      </x:c>
      <x:c r="C42" s="16" t="str">
        <x:v>hours/month; mature-system allowance</x:v>
      </x:c>
      <x:c r="D42" s="16" t="str">
        <x:v>ExamLeaf planning assumption; not a benchmark or supplier quote.</x:v>
      </x:c>
    </x:row>
    <x:row r="43" ht="38" customHeight="1">
      <x:c r="A43" s="16" t="str">
        <x:v>Maintenance rate</x:v>
      </x:c>
      <x:c r="B43" s="22" t="n">
        <x:v>25</x:v>
      </x:c>
      <x:c r="C43" s="16" t="str">
        <x:v>USD/hour</x:v>
      </x:c>
      <x:c r="D43" s="16" t="str">
        <x:v>ExamLeaf planning assumption; not a benchmark or supplier quote.</x:v>
      </x:c>
    </x:row>
    <x:row r="44" ht="38" customHeight="1">
      <x:c r="A44" s="16" t="str">
        <x:v>Production accounting period</x:v>
      </x:c>
      <x:c r="B44" s="22" t="n">
        <x:v>1</x:v>
      </x:c>
      <x:c r="C44" s="16" t="str">
        <x:v>months for compared volume</x:v>
      </x:c>
      <x:c r="D44" s="16" t="str">
        <x:v>ExamLeaf planning assumption; not a benchmark or supplier quote.</x:v>
      </x:c>
    </x:row>
    <x:row r="45" ht="38" customHeight="1">
      <x:c r="A45" s="16" t="str">
        <x:v>Setup engineering time</x:v>
      </x:c>
      <x:c r="B45" s="22" t="n">
        <x:v>240</x:v>
      </x:c>
      <x:c r="C45" s="16" t="str">
        <x:v>hours</x:v>
      </x:c>
      <x:c r="D45" s="16" t="str">
        <x:v>ExamLeaf planning assumption; not a benchmark or supplier quote.</x:v>
      </x:c>
    </x:row>
    <x:row r="46" ht="38" customHeight="1">
      <x:c r="A46" s="16" t="str">
        <x:v>Setup engineering rate</x:v>
      </x:c>
      <x:c r="B46" s="22" t="n">
        <x:v>25</x:v>
      </x:c>
      <x:c r="C46" s="16" t="str">
        <x:v>USD/hour</x:v>
      </x:c>
      <x:c r="D46" s="16" t="str">
        <x:v>ExamLeaf planning assumption; not a benchmark or supplier quote.</x:v>
      </x:c>
    </x:row>
    <x:row r="47" ht="38" customHeight="1">
      <x:c r="A47" s="16" t="str">
        <x:v>Setup academic template time</x:v>
      </x:c>
      <x:c r="B47" s="22" t="n">
        <x:v>60</x:v>
      </x:c>
      <x:c r="C47" s="16" t="str">
        <x:v>hours</x:v>
      </x:c>
      <x:c r="D47" s="16" t="str">
        <x:v>ExamLeaf planning assumption; not a benchmark or supplier quote.</x:v>
      </x:c>
    </x:row>
    <x:row r="48" ht="38" customHeight="1">
      <x:c r="A48" s="16" t="str">
        <x:v>Setup academic template rate</x:v>
      </x:c>
      <x:c r="B48" s="22" t="n">
        <x:v>25</x:v>
      </x:c>
      <x:c r="C48" s="16" t="str">
        <x:v>USD/hour</x:v>
      </x:c>
      <x:c r="D48" s="16" t="str">
        <x:v>ExamLeaf planning assumption; not a benchmark or supplier quote.</x:v>
      </x:c>
    </x:row>
    <x:row r="49" ht="38" customHeight="1">
      <x:c r="A49" s="16" t="str">
        <x:v>Setup design / voice time</x:v>
      </x:c>
      <x:c r="B49" s="22" t="n">
        <x:v>20</x:v>
      </x:c>
      <x:c r="C49" s="16" t="str">
        <x:v>hours</x:v>
      </x:c>
      <x:c r="D49" s="16" t="str">
        <x:v>ExamLeaf planning assumption; not a benchmark or supplier quote.</x:v>
      </x:c>
    </x:row>
    <x:row r="50" ht="38" customHeight="1">
      <x:c r="A50" s="16" t="str">
        <x:v>Setup design / voice rate</x:v>
      </x:c>
      <x:c r="B50" s="22" t="n">
        <x:v>25</x:v>
      </x:c>
      <x:c r="C50" s="16" t="str">
        <x:v>USD/hour</x:v>
      </x:c>
      <x:c r="D50" s="16" t="str">
        <x:v>ExamLeaf planning assumption; not a benchmark or supplier quote.</x:v>
      </x:c>
    </x:row>
    <x:row r="51" ht="38" customHeight="1">
      <x:c r="A51" s="16" t="str">
        <x:v>Optional Remotion paid-license switch</x:v>
      </x:c>
      <x:c r="B51" s="22" t="n">
        <x:v>0</x:v>
      </x:c>
      <x:c r="C51" s="16" t="str">
        <x:v>0 = HyperFrames baseline; 1 = paid Remotion</x:v>
      </x:c>
      <x:c r="D51" s="16" t="str">
        <x:v>ExamLeaf planning assumption; not a benchmark or supplier quote.</x:v>
      </x:c>
    </x:row>
    <x:row r="52" ht="38" customHeight="1">
      <x:c r="A52" s="16" t="str">
        <x:v>Remotion automation minimum</x:v>
      </x:c>
      <x:c r="B52" s="22" t="n">
        <x:v>100</x:v>
      </x:c>
      <x:c r="C52" s="16" t="str">
        <x:v>USD/month, when license applies</x:v>
      </x:c>
      <x:c r="D52" s="16" t="str">
        <x:v>https://www.remotion.dev/docs/license/pricing</x:v>
      </x:c>
    </x:row>
    <x:row r="53" ht="38" customHeight="1">
      <x:c r="A53" s="16" t="str">
        <x:v>Remotion per billable render</x:v>
      </x:c>
      <x:c r="B53" s="22" t="n">
        <x:v>0.01</x:v>
      </x:c>
      <x:c r="C53" s="16" t="str">
        <x:v>USD/render, when license applies</x:v>
      </x:c>
      <x:c r="D53" s="16" t="str">
        <x:v>https://www.remotion.dev/docs/license/pricing</x:v>
      </x:c>
    </x:row>
    <x:row r="54" ht="38" customHeight="1">
      <x:c r="A54" s="16" t="str">
        <x:v>Billable Remotion renders per video</x:v>
      </x:c>
      <x:c r="B54" s="22" t="n">
        <x:v>20</x:v>
      </x:c>
      <x:c r="C54" s="16" t="str">
        <x:v>assumption; confirm billing definition</x:v>
      </x:c>
      <x:c r="D54" s="16" t="str">
        <x:v>ExamLeaf planning assumption; not a benchmark or supplier quote.</x:v>
      </x:c>
    </x:row>
    <x:row r="55" ht="38" customHeight="1">
      <x:c r="A55" s="16" t="str">
        <x:v>Optional developer subscriptions</x:v>
      </x:c>
      <x:c r="B55" s="22" t="n">
        <x:v>0</x:v>
      </x:c>
      <x:c r="C55" s="16" t="str">
        <x:v>USD/month; enter actual incremental seats</x:v>
      </x:c>
      <x:c r="D55" s="16" t="str">
        <x:v>ExamLeaf planning assumption; not a benchmark or supplier quote.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95" hidden="0" customWidth="1"/>
  </x:cols>
  <x:sheetData>
    <x:row r="1" ht="36" customHeight="1">
      <x:c r="A1" s="3" t="str">
        <x:v>EXAMLEAF | UNIT ECONOMICS</x:v>
      </x:c>
      <x:c r="B1" s="3"/>
      <x:c r="C1" s="3"/>
    </x:row>
    <x:row r="2" ht="40" customHeight="1">
      <x:c r="A2" s="7" t="str">
        <x:v>Established reusable templates; not a cost guarantee for bespoke diagrams or 3D. No promotional prices, free tiers, batch discounts or caching savings assumed.</x:v>
      </x:c>
      <x:c r="B2" s="7"/>
      <x:c r="C2" s="7"/>
    </x:row>
    <x:row r="4" ht="28" customHeight="1">
      <x:c r="A4" s="12" t="str">
        <x:v>Cost component</x:v>
      </x:c>
      <x:c r="B4" s="12" t="str">
        <x:v>USD / video</x:v>
      </x:c>
      <x:c r="C4" s="12" t="str">
        <x:v>Basis / scope</x:v>
      </x:c>
    </x:row>
    <x:row r="5" ht="42" customHeight="1">
      <x:c r="A5" s="16" t="str">
        <x:v>Haiku extraction / routing</x:v>
      </x:c>
      <x:c r="B5" s="30" t="n">
        <x:f>(Inputs!B9*Inputs!B11+Inputs!B10*Inputs!B12)/1000000</x:f>
        <x:v>0.0055</x:v>
      </x:c>
      <x:c r="C5" s="16" t="str">
        <x:v>Haiku 5.5; prompts remain within short-context tier.</x:v>
      </x:c>
    </x:row>
    <x:row r="6" ht="42" customHeight="1">
      <x:c r="A6" s="16" t="str">
        <x:v>Sonnet scripting / component adaptation</x:v>
      </x:c>
      <x:c r="B6" s="30" t="n">
        <x:f>(Inputs!B13*Inputs!B15+Inputs!B14*Inputs!B16)/1000000</x:f>
        <x:v>0.49</x:v>
      </x:c>
      <x:c r="C6" s="16" t="str">
        <x:v>Sonnet 5.5; total tokens across bounded calls.</x:v>
      </x:c>
    </x:row>
    <x:row r="7" ht="42" customHeight="1">
      <x:c r="A7" s="16" t="str">
        <x:v>Independent OpenAI review</x:v>
      </x:c>
      <x:c r="B7" s="30" t="n">
        <x:f>(Inputs!B17*Inputs!B19+Inputs!B18*Inputs!B20)/1000000</x:f>
        <x:v>0.22</x:v>
      </x:c>
      <x:c r="C7" s="16" t="str">
        <x:v>gpt-6.1-sol; short-context rates.</x:v>
      </x:c>
    </x:row>
    <x:row r="8" ht="42" customHeight="1">
      <x:c r="A8" s="16" t="str">
        <x:v>Opus escalation reserve</x:v>
      </x:c>
      <x:c r="B8" s="30" t="n">
        <x:f>(Inputs!B21*Inputs!B23+Inputs!B22*Inputs!B24)/1000000</x:f>
        <x:v>0.08</x:v>
      </x:c>
      <x:c r="C8" s="16" t="str">
        <x:v>Opus 5.5 amortized reserve, not required on every scene.</x:v>
      </x:c>
    </x:row>
    <x:row r="9" ht="42" customHeight="1">
      <x:c r="A9" s="16" t="str">
        <x:v>Base LLM subtotal</x:v>
      </x:c>
      <x:c r="B9" s="32" t="n">
        <x:f>SUM(B5:B8)</x:f>
        <x:v>0.7955</x:v>
      </x:c>
      <x:c r="C9" s="16" t="str">
        <x:v>Before regeneration allowance.</x:v>
      </x:c>
    </x:row>
    <x:row r="10" ht="42" customHeight="1">
      <x:c r="A10" s="16" t="str">
        <x:v>LLM cost with regeneration</x:v>
      </x:c>
      <x:c r="B10" s="30" t="n">
        <x:f>B9*(1+Inputs!B25)</x:f>
        <x:v>1.0341500000000001</x:v>
      </x:c>
      <x:c r="C10" s="16" t="str">
        <x:v>Includes a 30% retry/rewrite reserve.</x:v>
      </x:c>
    </x:row>
    <x:row r="11" ht="42" customHeight="1">
      <x:c r="A11" s="16" t="str">
        <x:v>Narration with regeneration</x:v>
      </x:c>
      <x:c r="B11" s="30" t="n">
        <x:f>Inputs!B6*(1+Inputs!B7)*Inputs!B8/1000</x:f>
        <x:v>0.768</x:v>
      </x:c>
      <x:c r="C11" s="16" t="str">
        <x:v>ElevenLabs Multilingual v2 standard character price.</x:v>
      </x:c>
    </x:row>
    <x:row r="12" ht="42" customHeight="1">
      <x:c r="A12" s="16" t="str">
        <x:v>Rendering with retries</x:v>
      </x:c>
      <x:c r="B12" s="30" t="n">
        <x:f>(Inputs!B26*Inputs!B30+Inputs!B27*Inputs!B31)*Inputs!B28*60*(1+Inputs!B29)</x:f>
        <x:v>0.35546688</x:v>
      </x:c>
      <x:c r="C12" s="16" t="str">
        <x:v>Fargate US East rate example. 45 minutes is an unmeasured planning assumption.</x:v>
      </x:c>
    </x:row>
    <x:row r="13" ht="42" customHeight="1">
      <x:c r="A13" s="16" t="str">
        <x:v>ASR validation</x:v>
      </x:c>
      <x:c r="B13" s="30" t="n">
        <x:f>Inputs!B5*Inputs!B32</x:f>
        <x:v>0.03</x:v>
      </x:c>
      <x:c r="C13" s="16" t="str">
        <x:v>Validation transcription only; alignment accuracy must still be checked.</x:v>
      </x:c>
    </x:row>
    <x:row r="14" ht="42" customHeight="1">
      <x:c r="A14" s="16" t="str">
        <x:v>Working-asset storage</x:v>
      </x:c>
      <x:c r="B14" s="30" t="n">
        <x:f>Inputs!B33*Inputs!B34*Inputs!B35</x:f>
        <x:v>0.03</x:v>
      </x:c>
      <x:c r="C14" s="16" t="str">
        <x:v>2 GB retained for one month; archive growth is recurring.</x:v>
      </x:c>
    </x:row>
    <x:row r="15" ht="42" customHeight="1">
      <x:c r="A15" s="16" t="str">
        <x:v>API / request reserve</x:v>
      </x:c>
      <x:c r="B15" s="30" t="n">
        <x:f>Inputs!B36</x:f>
        <x:v>0.15</x:v>
      </x:c>
      <x:c r="C15" s="16" t="str">
        <x:v>Planning reserve, not a quoted service bundle.</x:v>
      </x:c>
    </x:row>
    <x:row r="16" ht="42" customHeight="1">
      <x:c r="A16" s="38" t="str">
        <x:v>VARIABLE MACHINE COST</x:v>
      </x:c>
      <x:c r="B16" s="39" t="n">
        <x:f>SUM(B10:B15)</x:f>
        <x:v>2.3676168799999995</x:v>
      </x:c>
      <x:c r="C16" s="38" t="str">
        <x:v>Excludes humans, fixed overhead and initial engine development.</x:v>
      </x:c>
    </x:row>
    <x:row r="17" ht="42" customHeight="1">
      <x:c r="A17" s="16" t="str">
        <x:v>Academic review</x:v>
      </x:c>
      <x:c r="B17" s="30" t="n">
        <x:f>Inputs!B37/60*Inputs!B38</x:f>
        <x:v>15</x:v>
      </x:c>
      <x:c r="C17" s="16" t="str">
        <x:v>Review approved claims, script, derivations and the entire final lesson.</x:v>
      </x:c>
    </x:row>
    <x:row r="18" ht="42" customHeight="1">
      <x:c r="A18" s="16" t="str">
        <x:v>Production QA</x:v>
      </x:c>
      <x:c r="B18" s="30" t="n">
        <x:f>Inputs!B39/60*Inputs!B40</x:f>
        <x:v>3</x:v>
      </x:c>
      <x:c r="C18" s="16" t="str">
        <x:v>Mobile, audio, captions, continuity and export review.</x:v>
      </x:c>
    </x:row>
    <x:row r="19" ht="42" customHeight="1">
      <x:c r="A19" s="38" t="str">
        <x:v>HUMAN REVIEW COST</x:v>
      </x:c>
      <x:c r="B19" s="39" t="n">
        <x:f>SUM(B17:B18)</x:f>
        <x:v>18</x:v>
      </x:c>
      <x:c r="C19" s="38" t="str">
        <x:v>One reviewer-hour in the base scenario.</x:v>
      </x:c>
    </x:row>
    <x:row r="20" ht="42" customHeight="1">
      <x:c r="A20" s="38" t="str">
        <x:v>TOTAL VARIABLE COST</x:v>
      </x:c>
      <x:c r="B20" s="39" t="n">
        <x:f>SUM(B16,B19)</x:f>
        <x:v>20.36761688</x:v>
      </x:c>
      <x:c r="C20" s="38" t="str">
        <x:v>Established engine and component library.</x:v>
      </x:c>
    </x:row>
    <x:row r="21" ht="42" customHeight="1">
      <x:c r="A21" s="38" t="str">
        <x:v>Fixed monthly overhead</x:v>
      </x:c>
      <x:c r="B21" s="44" t="n">
        <x:f>SUM(Inputs!B41,Inputs!B42*Inputs!B43,Inputs!B55)</x:f>
        <x:v>200</x:v>
      </x:c>
      <x:c r="C21" s="38" t="str">
        <x:v>Infrastructure allowance + maintenance + optional developer subscriptions.</x:v>
      </x:c>
    </x:row>
    <x:row r="22" ht="42" customHeight="1">
      <x:c r="A22" s="38" t="str">
        <x:v>One-time implementation budget</x:v>
      </x:c>
      <x:c r="B22" s="44" t="n">
        <x:f>SUM(Inputs!B45*Inputs!B46,Inputs!B47*Inputs!B48,Inputs!B49*Inputs!B50)</x:f>
        <x:v>8000</x:v>
      </x:c>
      <x:c r="C22" s="38" t="str">
        <x:v>Illustrative 320-hour setup. A mature platform may cost substantially more.</x:v>
      </x:c>
    </x:row>
    <x:row r="23" ht="42" customHeight="1">
      <x:c r="A23" s="16"/>
      <x:c r="B23" s="28"/>
      <x:c r="C23" s="16"/>
    </x:row>
    <x:row r="24" ht="42" customHeight="1">
      <x:c r="A24" s="16"/>
      <x:c r="B24" s="28"/>
      <x:c r="C24" s="16"/>
    </x:row>
    <x:row r="25" ht="42" customHeight="1">
      <x:c r="A25" s="16"/>
      <x:c r="B25" s="28"/>
      <x:c r="C25" s="16"/>
    </x:row>
    <x:row r="26" ht="42" customHeight="1">
      <x:c r="A26" s="16"/>
      <x:c r="B26" s="28"/>
      <x:c r="C26" s="16"/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3" t="str">
        <x:v>EXAMLEAF | PRODUCTION COST</x:v>
      </x:c>
      <x:c r="B1" s="3"/>
      <x:c r="C1" s="3"/>
      <x:c r="D1" s="3"/>
    </x:row>
    <x:row r="2" ht="40" customHeight="1">
      <x:c r="A2" s="7" t="str">
        <x:v>USD, pre-tax. Same one-month accounting period. Reusable-component baseline; initial implementation is shown separately.</x:v>
      </x:c>
      <x:c r="B2" s="7"/>
      <x:c r="C2" s="7"/>
      <x:c r="D2" s="7"/>
    </x:row>
    <x:row r="4" ht="28" customHeight="1">
      <x:c r="A4" s="12" t="str">
        <x:v>Cost / capacity metric</x:v>
      </x:c>
      <x:c r="B4" s="12" t="str">
        <x:v>1 video</x:v>
      </x:c>
      <x:c r="C4" s="12" t="str">
        <x:v>100 videos</x:v>
      </x:c>
      <x:c r="D4" s="12" t="str">
        <x:v>1,000 videos</x:v>
      </x:c>
    </x:row>
    <x:row r="5" ht="31" customHeight="1">
      <x:c r="A5" t="str">
        <x:v>Videos</x:v>
      </x:c>
      <x:c r="B5" s="60" t="n">
        <x:v>1</x:v>
      </x:c>
      <x:c r="C5" s="60" t="n">
        <x:v>100</x:v>
      </x:c>
      <x:c r="D5" s="60" t="n">
        <x:v>1000</x:v>
      </x:c>
    </x:row>
    <x:row r="6" ht="31" customHeight="1">
      <x:c r="A6" t="str">
        <x:v>Variable machine cost</x:v>
      </x:c>
      <x:c r="B6" s="52" t="n">
        <x:f>B5*UnitCosts!B16</x:f>
        <x:v>2.3676168799999995</x:v>
      </x:c>
      <x:c r="C6" s="52" t="n">
        <x:f>C5*UnitCosts!B16</x:f>
        <x:v>236.76168799999994</x:v>
      </x:c>
      <x:c r="D6" s="52" t="n">
        <x:f>D5*UnitCosts!B16</x:f>
        <x:v>2367.6168799999996</x:v>
      </x:c>
    </x:row>
    <x:row r="7" ht="31" customHeight="1">
      <x:c r="A7" t="str">
        <x:v>Human review</x:v>
      </x:c>
      <x:c r="B7" s="52" t="n">
        <x:f>B5*UnitCosts!B19</x:f>
        <x:v>18</x:v>
      </x:c>
      <x:c r="C7" s="52" t="n">
        <x:f>C5*UnitCosts!B19</x:f>
        <x:v>1800</x:v>
      </x:c>
      <x:c r="D7" s="52" t="n">
        <x:f>D5*UnitCosts!B19</x:f>
        <x:v>18000</x:v>
      </x:c>
    </x:row>
    <x:row r="8" ht="31" customHeight="1">
      <x:c r="A8" t="str">
        <x:v>Fixed overhead for accounting period</x:v>
      </x:c>
      <x:c r="B8" s="52" t="n">
        <x:f>UnitCosts!B21*Inputs!B44</x:f>
        <x:v>200</x:v>
      </x:c>
      <x:c r="C8" s="52" t="n">
        <x:f>UnitCosts!B21*Inputs!B44</x:f>
        <x:v>200</x:v>
      </x:c>
      <x:c r="D8" s="52" t="n">
        <x:f>UnitCosts!B21*Inputs!B44</x:f>
        <x:v>200</x:v>
      </x:c>
    </x:row>
    <x:row r="9" ht="31" customHeight="1">
      <x:c r="A9" t="str">
        <x:v>Optional Remotion licensing</x:v>
      </x:c>
      <x:c r="B9" s="52" t="n">
        <x:f>Inputs!B51*MAX(Inputs!B52*Inputs!B44,Inputs!B53*Inputs!B54*B5)</x:f>
        <x:v>0</x:v>
      </x:c>
      <x:c r="C9" s="52" t="n">
        <x:f>Inputs!B51*MAX(Inputs!B52*Inputs!B44,Inputs!B53*Inputs!B54*C5)</x:f>
        <x:v>0</x:v>
      </x:c>
      <x:c r="D9" s="52" t="n">
        <x:f>Inputs!B51*MAX(Inputs!B52*Inputs!B44,Inputs!B53*Inputs!B54*D5)</x:f>
        <x:v>0</x:v>
      </x:c>
    </x:row>
    <x:row r="10" ht="38" customHeight="1">
      <x:c r="A10" s="64" t="str">
        <x:v>TOTAL PRODUCTION COST</x:v>
      </x:c>
      <x:c r="B10" s="65" t="n">
        <x:f>SUM(B6:B9)</x:f>
        <x:v>220.36761688</x:v>
      </x:c>
      <x:c r="C10" s="65" t="n">
        <x:f>SUM(C6:C9)</x:f>
        <x:v>2236.761688</x:v>
      </x:c>
      <x:c r="D10" s="65" t="n">
        <x:f>SUM(D6:D9)</x:f>
        <x:v>20567.61688</x:v>
      </x:c>
    </x:row>
    <x:row r="11" ht="31" customHeight="1">
      <x:c r="A11" t="str">
        <x:v>Average production cost per video</x:v>
      </x:c>
      <x:c r="B11" s="53" t="n">
        <x:f>B10/B5</x:f>
        <x:v>220.36761688</x:v>
      </x:c>
      <x:c r="C11" s="53" t="n">
        <x:f>C10/C5</x:f>
        <x:v>22.36761688</x:v>
      </x:c>
      <x:c r="D11" s="53" t="n">
        <x:f>D10/D5</x:f>
        <x:v>20.567616880000003</x:v>
      </x:c>
    </x:row>
    <x:row r="12" ht="31" customHeight="1">
      <x:c r="A12" t="str">
        <x:v>One-time implementation</x:v>
      </x:c>
      <x:c r="B12" s="52" t="n">
        <x:f>UnitCosts!B22</x:f>
        <x:v>8000</x:v>
      </x:c>
      <x:c r="C12" s="52" t="n">
        <x:f>UnitCosts!B22</x:f>
        <x:v>8000</x:v>
      </x:c>
      <x:c r="D12" s="52" t="n">
        <x:f>UnitCosts!B22</x:f>
        <x:v>8000</x:v>
      </x:c>
    </x:row>
    <x:row r="13" ht="38" customHeight="1">
      <x:c r="A13" s="64" t="str">
        <x:v>TOTAL INCLUDING IMPLEMENTATION</x:v>
      </x:c>
      <x:c r="B13" s="65" t="n">
        <x:f>SUM(B10,B12)</x:f>
        <x:v>8220.36761688</x:v>
      </x:c>
      <x:c r="C13" s="65" t="n">
        <x:f>SUM(C10,C12)</x:f>
        <x:v>10236.761688</x:v>
      </x:c>
      <x:c r="D13" s="65" t="n">
        <x:f>SUM(D10,D12)</x:f>
        <x:v>28567.61688</x:v>
      </x:c>
    </x:row>
    <x:row r="14" ht="31" customHeight="1">
      <x:c r="A14" t="str">
        <x:v>Reviewer hours required</x:v>
      </x:c>
      <x:c r="B14" s="56" t="n">
        <x:f>B5*SUM(Inputs!B37,Inputs!B39)/60</x:f>
        <x:v>1</x:v>
      </x:c>
      <x:c r="C14" s="56" t="n">
        <x:f>C5*SUM(Inputs!B37,Inputs!B39)/60</x:f>
        <x:v>100</x:v>
      </x:c>
      <x:c r="D14" s="56" t="n">
        <x:f>D5*SUM(Inputs!B37,Inputs!B39)/60</x:f>
        <x:v>1000</x:v>
      </x:c>
    </x:row>
    <x:row r="15" ht="31" customHeight="1">
      <x:c r="A15" t="str">
        <x:v>Render worker hours required</x:v>
      </x:c>
      <x:c r="B15" s="56" t="n">
        <x:f>B5*Inputs!B28*(1+Inputs!B29)/60</x:f>
        <x:v>0.9</x:v>
      </x:c>
      <x:c r="C15" s="56" t="n">
        <x:f>C5*Inputs!B28*(1+Inputs!B29)/60</x:f>
        <x:v>90</x:v>
      </x:c>
      <x:c r="D15" s="56" t="n">
        <x:f>D5*Inputs!B28*(1+Inputs!B29)/60</x:f>
        <x:v>900</x:v>
      </x:c>
    </x:row>
    <x:row r="16" ht="31" customHeight="1">
      <x:c r="A16" t="str">
        <x:v>Reviewer FTE at 160 h/month</x:v>
      </x:c>
      <x:c r="B16" s="56" t="n">
        <x:f>B14/(160*Inputs!B44)</x:f>
        <x:v>0.00625</x:v>
      </x:c>
      <x:c r="C16" s="56" t="n">
        <x:f>C14/(160*Inputs!B44)</x:f>
        <x:v>0.625</x:v>
      </x:c>
      <x:c r="D16" s="56" t="n">
        <x:f>D14/(160*Inputs!B44)</x:f>
        <x:v>6.25</x:v>
      </x:c>
    </x:row>
    <x:row r="17" ht="31" customHeight="1">
      <x:c r="A17" t="str">
        <x:v>Machine cost share of production</x:v>
      </x:c>
      <x:c r="B17" s="58" t="n">
        <x:f>B6/B10</x:f>
        <x:v>0.010743941934487009</x:v>
      </x:c>
      <x:c r="C17" s="58" t="n">
        <x:f>C6/C10</x:f>
        <x:v>0.10585020714106577</x:v>
      </x:c>
      <x:c r="D17" s="58" t="n">
        <x:f>D6/D10</x:f>
        <x:v>0.11511381672527535</x:v>
      </x:c>
    </x:row>
    <x:row r="19" ht="32" customHeight="1">
      <x:c r="A19" s="18" t="str">
        <x:v>Sensitivity: increasing review to $40/video adds $22/video. Bespoke diagrams, additional languages, heavy Blender rendering, rights clearance, taxes and large platform maintenance are not covered by this baseline.</x:v>
      </x:c>
      <x:c r="B19" s="18"/>
      <x:c r="C19" s="18"/>
      <x:c r="D19" s="18"/>
    </x:row>
    <x:row r="20" ht="32" customHeight="1">
      <x:c r="A20" s="18"/>
      <x:c r="B20" s="18"/>
      <x:c r="C20" s="18"/>
      <x:c r="D20" s="18"/>
    </x:row>
    <x:row r="22" ht="32" customHeight="1">
      <x:c r="A22" s="16" t="str">
        <x:v>Remotion switch defaults to 0. When enabled, 20 billable renders/video is an editable assumption, not a verified billing interpretation. Confirm partial-scene/still billing with the vendor before purchase.</x:v>
      </x:c>
      <x:c r="B22" s="16"/>
      <x:c r="C22" s="16"/>
      <x:c r="D22" s="16"/>
    </x:row>
    <x:row r="23" ht="32" customHeight="1">
      <x:c r="A23" s="16"/>
      <x:c r="B23" s="16"/>
      <x:c r="C23" s="16"/>
      <x:c r="D23" s="16"/>
    </x:row>
  </x:sheetData>
  <x:mergeCells>
    <x:mergeCell ref="A1:D1"/>
    <x:mergeCell ref="A2:D2"/>
    <x:mergeCell ref="A19:D20"/>
    <x:mergeCell ref="A22:D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0" hidden="0" customWidth="1"/>
    <x:col min="3" max="3" width="18" hidden="0" customWidth="1"/>
    <x:col min="4" max="4" width="12" hidden="0" customWidth="1"/>
    <x:col min="5" max="5" width="28" hidden="0" customWidth="1"/>
    <x:col min="6" max="6" width="53" hidden="0" customWidth="1"/>
    <x:col min="7" max="7" width="53" hidden="0" customWidth="1"/>
    <x:col min="8" max="8" width="70" hidden="0" customWidth="1"/>
  </x:cols>
  <x:sheetData>
    <x:row r="1" ht="36" customHeight="1">
      <x:c r="A1" s="3" t="str">
        <x:v>EXAMLEAF | 40 CUSTOM SKILLS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A complete proposed v1 inventory, not a claim that these Skills exist or have been implemented. P0 = pilot core; P1 = scaling; P2 = selective extension.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ID</x:v>
      </x:c>
      <x:c r="B4" s="12" t="str">
        <x:v>Custom Skill</x:v>
      </x:c>
      <x:c r="C4" s="12" t="str">
        <x:v>Workstream</x:v>
      </x:c>
      <x:c r="D4" s="12" t="str">
        <x:v>Priority</x:v>
      </x:c>
      <x:c r="E4" s="12" t="str">
        <x:v>Status</x:v>
      </x:c>
      <x:c r="F4" s="12" t="str">
        <x:v>Inputs</x:v>
      </x:c>
      <x:c r="G4" s="12" t="str">
        <x:v>Outputs</x:v>
      </x:c>
      <x:c r="H4" s="12" t="str">
        <x:v>Release test / boundary</x:v>
      </x:c>
    </x:row>
    <x:row r="5" ht="66" customHeight="1">
      <x:c r="A5" s="16" t="n">
        <x:v>1</x:v>
      </x:c>
      <x:c r="B5" s="16" t="str">
        <x:v>examleaf-rights-ingest</x:v>
      </x:c>
      <x:c r="C5" s="16" t="str">
        <x:v>Sources</x:v>
      </x:c>
      <x:c r="D5" s="16" t="str">
        <x:v>P0</x:v>
      </x:c>
      <x:c r="E5" s="16" t="str">
        <x:v>Proposed; not implemented</x:v>
      </x:c>
      <x:c r="F5" s="16" t="str">
        <x:v>Licensed PDF, provenance, permission records</x:v>
      </x:c>
      <x:c r="G5" s="16" t="str">
        <x:v>Page-indexed source package + rights ledger</x:v>
      </x:c>
      <x:c r="H5" s="16" t="str">
        <x:v>Reject unknown rights; verify extracted equations against page image</x:v>
      </x:c>
    </x:row>
    <x:row r="6" ht="66" customHeight="1">
      <x:c r="A6" s="16" t="n">
        <x:v>2</x:v>
      </x:c>
      <x:c r="B6" s="16" t="str">
        <x:v>examleaf-syllabus-map</x:v>
      </x:c>
      <x:c r="C6" s="16" t="str">
        <x:v>Sources</x:v>
      </x:c>
      <x:c r="D6" s="16" t="str">
        <x:v>P0</x:v>
      </x:c>
      <x:c r="E6" s="16" t="str">
        <x:v>Proposed; not implemented</x:v>
      </x:c>
      <x:c r="F6" s="16" t="str">
        <x:v>Board, class, subject, academic year, approved syllabus</x:v>
      </x:c>
      <x:c r="G6" s="16" t="str">
        <x:v>Coverage matrix + exclusions</x:v>
      </x:c>
      <x:c r="H6" s="16" t="str">
        <x:v>Every objective maps to exact syllabus version</x:v>
      </x:c>
    </x:row>
    <x:row r="7" ht="66" customHeight="1">
      <x:c r="A7" s="16" t="n">
        <x:v>3</x:v>
      </x:c>
      <x:c r="B7" s="16" t="str">
        <x:v>examleaf-source-claim-ledger</x:v>
      </x:c>
      <x:c r="C7" s="16" t="str">
        <x:v>Sources</x:v>
      </x:c>
      <x:c r="D7" s="16" t="str">
        <x:v>P0</x:v>
      </x:c>
      <x:c r="E7" s="16" t="str">
        <x:v>Proposed; not implemented</x:v>
      </x:c>
      <x:c r="F7" s="16" t="str">
        <x:v>Extracted source spans, drafted claims</x:v>
      </x:c>
      <x:c r="G7" s="16" t="str">
        <x:v>Claim-to-source ledger with page / region / hash</x:v>
      </x:c>
      <x:c r="H7" s="16" t="str">
        <x:v>No unsupported high-stakes scientific claim reaches release</x:v>
      </x:c>
    </x:row>
    <x:row r="8" ht="66" customHeight="1">
      <x:c r="A8" s="16" t="n">
        <x:v>4</x:v>
      </x:c>
      <x:c r="B8" s="16" t="str">
        <x:v>examleaf-prerequisite-graph</x:v>
      </x:c>
      <x:c r="C8" s="16" t="str">
        <x:v>Sources</x:v>
      </x:c>
      <x:c r="D8" s="16" t="str">
        <x:v>P1</x:v>
      </x:c>
      <x:c r="E8" s="16" t="str">
        <x:v>Proposed; not implemented</x:v>
      </x:c>
      <x:c r="F8" s="16" t="str">
        <x:v>Topic map, definitions, symbols</x:v>
      </x:c>
      <x:c r="G8" s="16" t="str">
        <x:v>Prerequisite graph + entry check</x:v>
      </x:c>
      <x:c r="H8" s="16" t="str">
        <x:v>No cycles or assumed untaught prerequisite</x:v>
      </x:c>
    </x:row>
    <x:row r="9" ht="66" customHeight="1">
      <x:c r="A9" s="16" t="n">
        <x:v>5</x:v>
      </x:c>
      <x:c r="B9" s="16" t="str">
        <x:v>examleaf-lesson-scope</x:v>
      </x:c>
      <x:c r="C9" s="16" t="str">
        <x:v>Pedagogy</x:v>
      </x:c>
      <x:c r="D9" s="16" t="str">
        <x:v>P0</x:v>
      </x:c>
      <x:c r="E9" s="16" t="str">
        <x:v>Proposed; not implemented</x:v>
      </x:c>
      <x:c r="F9" s="16" t="str">
        <x:v>Objective, prior knowledge, exam context</x:v>
      </x:c>
      <x:c r="G9" s="16" t="str">
        <x:v>One coherent LessonSpec</x:v>
      </x:c>
      <x:c r="H9" s="16" t="str">
        <x:v>Remove content rather than accelerate narration to fit</x:v>
      </x:c>
    </x:row>
    <x:row r="10" ht="66" customHeight="1">
      <x:c r="A10" s="16" t="n">
        <x:v>6</x:v>
      </x:c>
      <x:c r="B10" s="16" t="str">
        <x:v>examleaf-revision-script</x:v>
      </x:c>
      <x:c r="C10" s="16" t="str">
        <x:v>Pedagogy</x:v>
      </x:c>
      <x:c r="D10" s="16" t="str">
        <x:v>P0</x:v>
      </x:c>
      <x:c r="E10" s="16" t="str">
        <x:v>Proposed; not implemented</x:v>
      </x:c>
      <x:c r="F10" s="16" t="str">
        <x:v>Approved sources, lesson scope, locale</x:v>
      </x:c>
      <x:c r="G10" s="16" t="str">
        <x:v>Spoken script + on-screen text separately</x:v>
      </x:c>
      <x:c r="H10" s="16" t="str">
        <x:v>Every equation spoken unambiguously; no invented exam guarantees</x:v>
      </x:c>
    </x:row>
    <x:row r="11" ht="66" customHeight="1">
      <x:c r="A11" s="16" t="n">
        <x:v>7</x:v>
      </x:c>
      <x:c r="B11" s="16" t="str">
        <x:v>examleaf-worked-examples</x:v>
      </x:c>
      <x:c r="C11" s="16" t="str">
        <x:v>Pedagogy</x:v>
      </x:c>
      <x:c r="D11" s="16" t="str">
        <x:v>P0</x:v>
      </x:c>
      <x:c r="E11" s="16" t="str">
        <x:v>Proposed; not implemented</x:v>
      </x:c>
      <x:c r="F11" s="16" t="str">
        <x:v>Verified problems, domain constraints</x:v>
      </x:c>
      <x:c r="G11" s="16" t="str">
        <x:v>Fully worked + faded + independent variants</x:v>
      </x:c>
      <x:c r="H11" s="16" t="str">
        <x:v>Re-solve independently; avoid accidental domain restrictions</x:v>
      </x:c>
    </x:row>
    <x:row r="12" ht="66" customHeight="1">
      <x:c r="A12" s="16" t="n">
        <x:v>8</x:v>
      </x:c>
      <x:c r="B12" s="16" t="str">
        <x:v>examleaf-retrieval-challenges</x:v>
      </x:c>
      <x:c r="C12" s="16" t="str">
        <x:v>Pedagogy</x:v>
      </x:c>
      <x:c r="D12" s="16" t="str">
        <x:v>P1</x:v>
      </x:c>
      <x:c r="E12" s="16" t="str">
        <x:v>Proposed; not implemented</x:v>
      </x:c>
      <x:c r="F12" s="16" t="str">
        <x:v>Objectives, worked example</x:v>
      </x:c>
      <x:c r="G12" s="16" t="str">
        <x:v>Retrieval and transfer items + answer keys</x:v>
      </x:c>
      <x:c r="H12" s="16" t="str">
        <x:v>Require reasoning, not visual copying</x:v>
      </x:c>
    </x:row>
    <x:row r="13" ht="66" customHeight="1">
      <x:c r="A13" s="16" t="n">
        <x:v>9</x:v>
      </x:c>
      <x:c r="B13" s="16" t="str">
        <x:v>examleaf-misconception-audit</x:v>
      </x:c>
      <x:c r="C13" s="16" t="str">
        <x:v>Pedagogy</x:v>
      </x:c>
      <x:c r="D13" s="16" t="str">
        <x:v>P0</x:v>
      </x:c>
      <x:c r="E13" s="16" t="str">
        <x:v>Proposed; not implemented</x:v>
      </x:c>
      <x:c r="F13" s="16" t="str">
        <x:v>Claims, diagrams, examples</x:v>
      </x:c>
      <x:c r="G13" s="16" t="str">
        <x:v>Misconception and counterexample report</x:v>
      </x:c>
      <x:c r="H13" s="16" t="str">
        <x:v>Test sign conventions, representations and misleading analogies</x:v>
      </x:c>
    </x:row>
    <x:row r="14" ht="66" customHeight="1">
      <x:c r="A14" s="16" t="n">
        <x:v>10</x:v>
      </x:c>
      <x:c r="B14" s="16" t="str">
        <x:v>examleaf-confidence-load-audit</x:v>
      </x:c>
      <x:c r="C14" s="16" t="str">
        <x:v>Pedagogy</x:v>
      </x:c>
      <x:c r="D14" s="16" t="str">
        <x:v>P1</x:v>
      </x:c>
      <x:c r="E14" s="16" t="str">
        <x:v>Proposed; not implemented</x:v>
      </x:c>
      <x:c r="F14" s="16" t="str">
        <x:v>Script and storyboard</x:v>
      </x:c>
      <x:c r="G14" s="16" t="str">
        <x:v>Load / pacing / confidence feedback</x:v>
      </x:c>
      <x:c r="H14" s="16" t="str">
        <x:v>Reject shaming, empty guarantees and irrelevant stimulation</x:v>
      </x:c>
    </x:row>
    <x:row r="15" ht="66" customHeight="1">
      <x:c r="A15" s="16" t="n">
        <x:v>11</x:v>
      </x:c>
      <x:c r="B15" s="16" t="str">
        <x:v>examleaf-exam-rubric</x:v>
      </x:c>
      <x:c r="C15" s="16" t="str">
        <x:v>Pedagogy</x:v>
      </x:c>
      <x:c r="D15" s="16" t="str">
        <x:v>P1</x:v>
      </x:c>
      <x:c r="E15" s="16" t="str">
        <x:v>Proposed; not implemented</x:v>
      </x:c>
      <x:c r="F15" s="16" t="str">
        <x:v>Approved board marking materials</x:v>
      </x:c>
      <x:c r="G15" s="16" t="str">
        <x:v>Exam answer structure + terminology checklist</x:v>
      </x:c>
      <x:c r="H15" s="16" t="str">
        <x:v>Do not invent marks or marking schemes</x:v>
      </x:c>
    </x:row>
    <x:row r="16" ht="66" customHeight="1">
      <x:c r="A16" s="16" t="n">
        <x:v>12</x:v>
      </x:c>
      <x:c r="B16" s="16" t="str">
        <x:v>examleaf-math-verification</x:v>
      </x:c>
      <x:c r="C16" s="16" t="str">
        <x:v>Science</x:v>
      </x:c>
      <x:c r="D16" s="16" t="str">
        <x:v>P0</x:v>
      </x:c>
      <x:c r="E16" s="16" t="str">
        <x:v>Proposed; not implemented</x:v>
      </x:c>
      <x:c r="F16" s="16" t="str">
        <x:v>Symbolic expressions, assumptions, derivation steps</x:v>
      </x:c>
      <x:c r="G16" s="16" t="str">
        <x:v>Proof/test results + numeric cases</x:v>
      </x:c>
      <x:c r="H16" s="16" t="str">
        <x:v>Check zero denominators, branches, units and boundary cases</x:v>
      </x:c>
    </x:row>
    <x:row r="17" ht="66" customHeight="1">
      <x:c r="A17" s="16" t="n">
        <x:v>13</x:v>
      </x:c>
      <x:c r="B17" s="16" t="str">
        <x:v>examleaf-physics-verification</x:v>
      </x:c>
      <x:c r="C17" s="16" t="str">
        <x:v>Science</x:v>
      </x:c>
      <x:c r="D17" s="16" t="str">
        <x:v>P0</x:v>
      </x:c>
      <x:c r="E17" s="16" t="str">
        <x:v>Proposed; not implemented</x:v>
      </x:c>
      <x:c r="F17" s="16" t="str">
        <x:v>Model, SI quantities, initial conditions</x:v>
      </x:c>
      <x:c r="G17" s="16" t="str">
        <x:v>Computed trajectories + invariant report</x:v>
      </x:c>
      <x:c r="H17" s="16" t="str">
        <x:v>Dimensional consistency; declared idealizations; solver tolerances</x:v>
      </x:c>
    </x:row>
    <x:row r="18" ht="66" customHeight="1">
      <x:c r="A18" s="16" t="n">
        <x:v>14</x:v>
      </x:c>
      <x:c r="B18" s="16" t="str">
        <x:v>examleaf-chemistry-verification</x:v>
      </x:c>
      <x:c r="C18" s="16" t="str">
        <x:v>Science</x:v>
      </x:c>
      <x:c r="D18" s="16" t="str">
        <x:v>P0</x:v>
      </x:c>
      <x:c r="E18" s="16" t="str">
        <x:v>Proposed; not implemented</x:v>
      </x:c>
      <x:c r="F18" s="16" t="str">
        <x:v>Structures, reactants, conditions, atom maps</x:v>
      </x:c>
      <x:c r="G18" s="16" t="str">
        <x:v>Valence / atom / charge audit + expert questions</x:v>
      </x:c>
      <x:c r="H18" s="16" t="str">
        <x:v>Balance is necessary, not evidence that reaction occurs</x:v>
      </x:c>
    </x:row>
    <x:row r="19" ht="66" customHeight="1">
      <x:c r="A19" s="16" t="n">
        <x:v>15</x:v>
      </x:c>
      <x:c r="B19" s="16" t="str">
        <x:v>examleaf-biology-verification</x:v>
      </x:c>
      <x:c r="C19" s="16" t="str">
        <x:v>Science</x:v>
      </x:c>
      <x:c r="D19" s="16" t="str">
        <x:v>P0</x:v>
      </x:c>
      <x:c r="E19" s="16" t="str">
        <x:v>Proposed; not implemented</x:v>
      </x:c>
      <x:c r="F19" s="16" t="str">
        <x:v>Approved process states, anatomy references</x:v>
      </x:c>
      <x:c r="G19" s="16" t="str">
        <x:v>State graph + label / direction / count audit</x:v>
      </x:c>
      <x:c r="H19" s="16" t="str">
        <x:v>Check 5-prime / 3-prime, ploidy, chromosome counts, compartments</x:v>
      </x:c>
    </x:row>
    <x:row r="20" ht="66" customHeight="1">
      <x:c r="A20" s="16" t="n">
        <x:v>16</x:v>
      </x:c>
      <x:c r="B20" s="16" t="str">
        <x:v>examleaf-independent-review</x:v>
      </x:c>
      <x:c r="C20" s="16" t="str">
        <x:v>Science</x:v>
      </x:c>
      <x:c r="D20" s="16" t="str">
        <x:v>P0</x:v>
      </x:c>
      <x:c r="E20" s="16" t="str">
        <x:v>Proposed; not implemented</x:v>
      </x:c>
      <x:c r="F20" s="16" t="str">
        <x:v>Evidence ledger and locked draft, not author rationale</x:v>
      </x:c>
      <x:c r="G20" s="16" t="str">
        <x:v>Independent findings + blocking decisions</x:v>
      </x:c>
      <x:c r="H20" s="16" t="str">
        <x:v>Different verifier; disagreements escalate to human academic lead</x:v>
      </x:c>
    </x:row>
    <x:row r="21" ht="66" customHeight="1">
      <x:c r="A21" s="16" t="n">
        <x:v>17</x:v>
      </x:c>
      <x:c r="B21" s="16" t="str">
        <x:v>examleaf-storyboard</x:v>
      </x:c>
      <x:c r="C21" s="16" t="str">
        <x:v>Visuals</x:v>
      </x:c>
      <x:c r="D21" s="16" t="str">
        <x:v>P0</x:v>
      </x:c>
      <x:c r="E21" s="16" t="str">
        <x:v>Proposed; not implemented</x:v>
      </x:c>
      <x:c r="F21" s="16" t="str">
        <x:v>Verified script, learning objective</x:v>
      </x:c>
      <x:c r="G21" s="16" t="str">
        <x:v>SceneSpec + semantic event timeline</x:v>
      </x:c>
      <x:c r="H21" s="16" t="str">
        <x:v>Each visual has an instructional purpose</x:v>
      </x:c>
    </x:row>
    <x:row r="22" ht="66" customHeight="1">
      <x:c r="A22" s="16" t="n">
        <x:v>18</x:v>
      </x:c>
      <x:c r="B22" s="16" t="str">
        <x:v>examleaf-design-system</x:v>
      </x:c>
      <x:c r="C22" s="16" t="str">
        <x:v>Visuals</x:v>
      </x:c>
      <x:c r="D22" s="16" t="str">
        <x:v>P0</x:v>
      </x:c>
      <x:c r="E22" s="16" t="str">
        <x:v>Proposed; not implemented</x:v>
      </x:c>
      <x:c r="F22" s="16" t="str">
        <x:v>Design tokens, locale, display target</x:v>
      </x:c>
      <x:c r="G22" s="16" t="str">
        <x:v>Reusable layout / diagram components</x:v>
      </x:c>
      <x:c r="H22" s="16" t="str">
        <x:v>Contrast and smallest-screen legibility; no color-only meaning</x:v>
      </x:c>
    </x:row>
    <x:row r="23" ht="66" customHeight="1">
      <x:c r="A23" s="16" t="n">
        <x:v>19</x:v>
      </x:c>
      <x:c r="B23" s="16" t="str">
        <x:v>examleaf-scene-compiler</x:v>
      </x:c>
      <x:c r="C23" s="16" t="str">
        <x:v>Visuals</x:v>
      </x:c>
      <x:c r="D23" s="16" t="str">
        <x:v>P0</x:v>
      </x:c>
      <x:c r="E23" s="16" t="str">
        <x:v>Proposed; not implemented</x:v>
      </x:c>
      <x:c r="F23" s="16" t="str">
        <x:v>Typed SceneSpec, approved components</x:v>
      </x:c>
      <x:c r="G23" s="16" t="str">
        <x:v>HyperFrames scenes + deterministic frame evaluation</x:v>
      </x:c>
      <x:c r="H23" s="16" t="str">
        <x:v>No uncontrolled network assets, clock time or unseeded randomness</x:v>
      </x:c>
    </x:row>
    <x:row r="24" ht="66" customHeight="1">
      <x:c r="A24" s="16" t="n">
        <x:v>20</x:v>
      </x:c>
      <x:c r="B24" s="16" t="str">
        <x:v>examleaf-equation-animation</x:v>
      </x:c>
      <x:c r="C24" s="16" t="str">
        <x:v>Visuals</x:v>
      </x:c>
      <x:c r="D24" s="16" t="str">
        <x:v>P0</x:v>
      </x:c>
      <x:c r="E24" s="16" t="str">
        <x:v>Proposed; not implemented</x:v>
      </x:c>
      <x:c r="F24" s="16" t="str">
        <x:v>Verified semantic equation steps</x:v>
      </x:c>
      <x:c r="G24" s="16" t="str">
        <x:v>Token-identified equation transforms</x:v>
      </x:c>
      <x:c r="H24" s="16" t="str">
        <x:v>Never morph a symbol into a mathematically invalid intermediate</x:v>
      </x:c>
    </x:row>
    <x:row r="25" ht="66" customHeight="1">
      <x:c r="A25" s="16" t="n">
        <x:v>21</x:v>
      </x:c>
      <x:c r="B25" s="16" t="str">
        <x:v>examleaf-graph-geometry</x:v>
      </x:c>
      <x:c r="C25" s="16" t="str">
        <x:v>Visuals</x:v>
      </x:c>
      <x:c r="D25" s="16" t="str">
        <x:v>P0</x:v>
      </x:c>
      <x:c r="E25" s="16" t="str">
        <x:v>Proposed; not implemented</x:v>
      </x:c>
      <x:c r="F25" s="16" t="str">
        <x:v>Verified functions, domains, coordinates</x:v>
      </x:c>
      <x:c r="G25" s="16" t="str">
        <x:v>SVG / D3 / Manim graphs and geometry</x:v>
      </x:c>
      <x:c r="H25" s="16" t="str">
        <x:v>Axes, units, discontinuities, scale and geometry invariants</x:v>
      </x:c>
    </x:row>
    <x:row r="26" ht="66" customHeight="1">
      <x:c r="A26" s="16" t="n">
        <x:v>22</x:v>
      </x:c>
      <x:c r="B26" s="16" t="str">
        <x:v>examleaf-physics-animation</x:v>
      </x:c>
      <x:c r="C26" s="16" t="str">
        <x:v>Visuals</x:v>
      </x:c>
      <x:c r="D26" s="16" t="str">
        <x:v>P1</x:v>
      </x:c>
      <x:c r="E26" s="16" t="str">
        <x:v>Proposed; not implemented</x:v>
      </x:c>
      <x:c r="F26" s="16" t="str">
        <x:v>Computed simulation arrays and conventions</x:v>
      </x:c>
      <x:c r="G26" s="16" t="str">
        <x:v>Particle / vector / circuit / field scenes</x:v>
      </x:c>
      <x:c r="H26" s="16" t="str">
        <x:v>All displayed representations use identical underlying data</x:v>
      </x:c>
    </x:row>
    <x:row r="27" ht="66" customHeight="1">
      <x:c r="A27" s="16" t="n">
        <x:v>23</x:v>
      </x:c>
      <x:c r="B27" s="16" t="str">
        <x:v>examleaf-chemistry-animation</x:v>
      </x:c>
      <x:c r="C27" s="16" t="str">
        <x:v>Visuals</x:v>
      </x:c>
      <x:c r="D27" s="16" t="str">
        <x:v>P1</x:v>
      </x:c>
      <x:c r="E27" s="16" t="str">
        <x:v>Proposed; not implemented</x:v>
      </x:c>
      <x:c r="F27" s="16" t="str">
        <x:v>Approved molecular models and reaction states</x:v>
      </x:c>
      <x:c r="G27" s="16" t="str">
        <x:v>Atom-mapped structure and bond scenes</x:v>
      </x:c>
      <x:c r="H27" s="16" t="str">
        <x:v>Preserve identities; distinguish transition state from intermediate</x:v>
      </x:c>
    </x:row>
    <x:row r="28" ht="66" customHeight="1">
      <x:c r="A28" s="16" t="n">
        <x:v>24</x:v>
      </x:c>
      <x:c r="B28" s="16" t="str">
        <x:v>examleaf-biology-animation</x:v>
      </x:c>
      <x:c r="C28" s="16" t="str">
        <x:v>Visuals</x:v>
      </x:c>
      <x:c r="D28" s="16" t="str">
        <x:v>P1</x:v>
      </x:c>
      <x:c r="E28" s="16" t="str">
        <x:v>Proposed; not implemented</x:v>
      </x:c>
      <x:c r="F28" s="16" t="str">
        <x:v>Approved SVG assets, state graph</x:v>
      </x:c>
      <x:c r="G28" s="16" t="str">
        <x:v>Layered cell / process / pathway scenes</x:v>
      </x:c>
      <x:c r="H28" s="16" t="str">
        <x:v>No invented anatomy or morphing across incompatible states</x:v>
      </x:c>
    </x:row>
    <x:row r="29" ht="66" customHeight="1">
      <x:c r="A29" s="16" t="n">
        <x:v>25</x:v>
      </x:c>
      <x:c r="B29" s="16" t="str">
        <x:v>examleaf-manim-adapter</x:v>
      </x:c>
      <x:c r="C29" s="16" t="str">
        <x:v>Adapters</x:v>
      </x:c>
      <x:c r="D29" s="16" t="str">
        <x:v>P0</x:v>
      </x:c>
      <x:c r="E29" s="16" t="str">
        <x:v>Proposed; not implemented</x:v>
      </x:c>
      <x:c r="F29" s="16" t="str">
        <x:v>Verified math / physics scenes, locked audio</x:v>
      </x:c>
      <x:c r="G29" s="16" t="str">
        <x:v>Cached scene renders + event metadata</x:v>
      </x:c>
      <x:c r="H29" s="16" t="str">
        <x:v>Version compatibility; correct alpha / codec; timeline alignment</x:v>
      </x:c>
    </x:row>
    <x:row r="30" ht="66" customHeight="1">
      <x:c r="A30" s="16" t="n">
        <x:v>26</x:v>
      </x:c>
      <x:c r="B30" s="16" t="str">
        <x:v>examleaf-threejs-adapter</x:v>
      </x:c>
      <x:c r="C30" s="16" t="str">
        <x:v>Adapters</x:v>
      </x:c>
      <x:c r="D30" s="16" t="str">
        <x:v>P2</x:v>
      </x:c>
      <x:c r="E30" s="16" t="str">
        <x:v>Proposed; not implemented</x:v>
      </x:c>
      <x:c r="F30" s="16" t="str">
        <x:v>Approved geometry and fixed camera / time</x:v>
      </x:c>
      <x:c r="G30" s="16" t="str">
        <x:v>Seekable 3D scenes or rendered inserts</x:v>
      </x:c>
      <x:c r="H30" s="16" t="str">
        <x:v>GPU/browser pinning; seeded motion; spatial orientation labels</x:v>
      </x:c>
    </x:row>
    <x:row r="31" ht="66" customHeight="1">
      <x:c r="A31" s="16" t="n">
        <x:v>27</x:v>
      </x:c>
      <x:c r="B31" s="16" t="str">
        <x:v>examleaf-narration-normalizer</x:v>
      </x:c>
      <x:c r="C31" s="16" t="str">
        <x:v>Audio</x:v>
      </x:c>
      <x:c r="D31" s="16" t="str">
        <x:v>P0</x:v>
      </x:c>
      <x:c r="E31" s="16" t="str">
        <x:v>Proposed; not implemented</x:v>
      </x:c>
      <x:c r="F31" s="16" t="str">
        <x:v>LaTeX, notation, units, locale</x:v>
      </x:c>
      <x:c r="G31" s="16" t="str">
        <x:v>Separate display text and spoken text</x:v>
      </x:c>
      <x:c r="H31" s="16" t="str">
        <x:v>Say signs, exponents, units and brackets unambiguously</x:v>
      </x:c>
    </x:row>
    <x:row r="32" ht="66" customHeight="1">
      <x:c r="A32" s="16" t="n">
        <x:v>28</x:v>
      </x:c>
      <x:c r="B32" s="16" t="str">
        <x:v>examleaf-pronunciation-lexicon</x:v>
      </x:c>
      <x:c r="C32" s="16" t="str">
        <x:v>Audio</x:v>
      </x:c>
      <x:c r="D32" s="16" t="str">
        <x:v>P0</x:v>
      </x:c>
      <x:c r="E32" s="16" t="str">
        <x:v>Proposed; not implemented</x:v>
      </x:c>
      <x:c r="F32" s="16" t="str">
        <x:v>Subject terms, locale, model and voice</x:v>
      </x:c>
      <x:c r="G32" s="16" t="str">
        <x:v>Versioned dictionary + audition corpus</x:v>
      </x:c>
      <x:c r="H32" s="16" t="str">
        <x:v>Native / subject-expert approval of ambiguous terms</x:v>
      </x:c>
    </x:row>
    <x:row r="33" ht="66" customHeight="1">
      <x:c r="A33" s="16" t="n">
        <x:v>29</x:v>
      </x:c>
      <x:c r="B33" s="16" t="str">
        <x:v>examleaf-tts-batch-cache</x:v>
      </x:c>
      <x:c r="C33" s="16" t="str">
        <x:v>Audio</x:v>
      </x:c>
      <x:c r="D33" s="16" t="str">
        <x:v>P0</x:v>
      </x:c>
      <x:c r="E33" s="16" t="str">
        <x:v>Proposed; not implemented</x:v>
      </x:c>
      <x:c r="F33" s="16" t="str">
        <x:v>Approved narration segments and voice settings</x:v>
      </x:c>
      <x:c r="G33" s="16" t="str">
        <x:v>Cached WAV files + receipts + actual cost</x:v>
      </x:c>
      <x:c r="H33" s="16" t="str">
        <x:v>Per-segment hash; bounded retries; commercial voice rights</x:v>
      </x:c>
    </x:row>
    <x:row r="34" ht="66" customHeight="1">
      <x:c r="A34" s="16" t="n">
        <x:v>30</x:v>
      </x:c>
      <x:c r="B34" s="16" t="str">
        <x:v>examleaf-forced-alignment</x:v>
      </x:c>
      <x:c r="C34" s="16" t="str">
        <x:v>Audio</x:v>
      </x:c>
      <x:c r="D34" s="16" t="str">
        <x:v>P0</x:v>
      </x:c>
      <x:c r="E34" s="16" t="str">
        <x:v>Proposed; not implemented</x:v>
      </x:c>
      <x:c r="F34" s="16" t="str">
        <x:v>Final waveform, approved spoken text</x:v>
      </x:c>
      <x:c r="G34" s="16" t="str">
        <x:v>Word / event timestamps + confidence flags</x:v>
      </x:c>
      <x:c r="H34" s="16" t="str">
        <x:v>Do not treat ASR agreement as scientific truth</x:v>
      </x:c>
    </x:row>
    <x:row r="35" ht="66" customHeight="1">
      <x:c r="A35" s="16" t="n">
        <x:v>31</x:v>
      </x:c>
      <x:c r="B35" s="16" t="str">
        <x:v>examleaf-multilingual-localization</x:v>
      </x:c>
      <x:c r="C35" s="16" t="str">
        <x:v>Audio</x:v>
      </x:c>
      <x:c r="D35" s="16" t="str">
        <x:v>P1</x:v>
      </x:c>
      <x:c r="E35" s="16" t="str">
        <x:v>Proposed; not implemented</x:v>
      </x:c>
      <x:c r="F35" s="16" t="str">
        <x:v>Source lesson, locale syllabus terms</x:v>
      </x:c>
      <x:c r="G35" s="16" t="str">
        <x:v>Localized script, captions, terminology ledger</x:v>
      </x:c>
      <x:c r="H35" s="16" t="str">
        <x:v>Model API must actually support locale; native review mandatory</x:v>
      </x:c>
    </x:row>
    <x:row r="36" ht="66" customHeight="1">
      <x:c r="A36" s="16" t="n">
        <x:v>32</x:v>
      </x:c>
      <x:c r="B36" s="16" t="str">
        <x:v>examleaf-render-orchestrator</x:v>
      </x:c>
      <x:c r="C36" s="16" t="str">
        <x:v>Operations</x:v>
      </x:c>
      <x:c r="D36" s="16" t="str">
        <x:v>P0</x:v>
      </x:c>
      <x:c r="E36" s="16" t="str">
        <x:v>Proposed; not implemented</x:v>
      </x:c>
      <x:c r="F36" s="16" t="str">
        <x:v>Approved manifests and content hashes</x:v>
      </x:c>
      <x:c r="G36" s="16" t="str">
        <x:v>Retryable Prefect jobs, partial renders, final assembly</x:v>
      </x:c>
      <x:c r="H36" s="16" t="str">
        <x:v>Idempotent jobs; scene cache; cost ceilings; no blind retry loops</x:v>
      </x:c>
    </x:row>
    <x:row r="37" ht="66" customHeight="1">
      <x:c r="A37" s="16" t="n">
        <x:v>33</x:v>
      </x:c>
      <x:c r="B37" s="16" t="str">
        <x:v>examleaf-audio-mastering</x:v>
      </x:c>
      <x:c r="C37" s="16" t="str">
        <x:v>Operations</x:v>
      </x:c>
      <x:c r="D37" s="16" t="str">
        <x:v>P0</x:v>
      </x:c>
      <x:c r="E37" s="16" t="str">
        <x:v>Proposed; not implemented</x:v>
      </x:c>
      <x:c r="F37" s="16" t="str">
        <x:v>Approved WAV segments and timeline</x:v>
      </x:c>
      <x:c r="G37" s="16" t="str">
        <x:v>Loudness-normalized master + audio report</x:v>
      </x:c>
      <x:c r="H37" s="16" t="str">
        <x:v>True peak, clipping, missing words, silence and sync checks</x:v>
      </x:c>
    </x:row>
    <x:row r="38" ht="66" customHeight="1">
      <x:c r="A38" s="16" t="n">
        <x:v>34</x:v>
      </x:c>
      <x:c r="B38" s="16" t="str">
        <x:v>examleaf-captions-export</x:v>
      </x:c>
      <x:c r="C38" s="16" t="str">
        <x:v>Operations</x:v>
      </x:c>
      <x:c r="D38" s="16" t="str">
        <x:v>P0</x:v>
      </x:c>
      <x:c r="E38" s="16" t="str">
        <x:v>Proposed; not implemented</x:v>
      </x:c>
      <x:c r="F38" s="16" t="str">
        <x:v>Final transcript, alignment and release metadata</x:v>
      </x:c>
      <x:c r="G38" s="16" t="str">
        <x:v>MP4, VTT, SRT, transcript, thumbnail, manifest</x:v>
      </x:c>
      <x:c r="H38" s="16" t="str">
        <x:v>Caption accuracy; player compatibility; no hidden unapproved changes</x:v>
      </x:c>
    </x:row>
    <x:row r="39" ht="66" customHeight="1">
      <x:c r="A39" s="16" t="n">
        <x:v>35</x:v>
      </x:c>
      <x:c r="B39" s="16" t="str">
        <x:v>examleaf-visual-accessibility-qa</x:v>
      </x:c>
      <x:c r="C39" s="16" t="str">
        <x:v>QA</x:v>
      </x:c>
      <x:c r="D39" s="16" t="str">
        <x:v>P0</x:v>
      </x:c>
      <x:c r="E39" s="16" t="str">
        <x:v>Proposed; not implemented</x:v>
      </x:c>
      <x:c r="F39" s="16" t="str">
        <x:v>Representative and critical-event frames</x:v>
      </x:c>
      <x:c r="G39" s="16" t="str">
        <x:v>Overflow / contrast / phone readability report</x:v>
      </x:c>
      <x:c r="H39" s="16" t="str">
        <x:v>Inspect real smallest-screen playback; captions are not obstructed</x:v>
      </x:c>
    </x:row>
    <x:row r="40" ht="66" customHeight="1">
      <x:c r="A40" s="16" t="n">
        <x:v>36</x:v>
      </x:c>
      <x:c r="B40" s="16" t="str">
        <x:v>examleaf-science-frame-qa</x:v>
      </x:c>
      <x:c r="C40" s="16" t="str">
        <x:v>QA</x:v>
      </x:c>
      <x:c r="D40" s="16" t="str">
        <x:v>P0</x:v>
      </x:c>
      <x:c r="E40" s="16" t="str">
        <x:v>Proposed; not implemented</x:v>
      </x:c>
      <x:c r="F40" s="16" t="str">
        <x:v>Approved semantic events and rendered video</x:v>
      </x:c>
      <x:c r="G40" s="16" t="str">
        <x:v>Frame-to-claim trace + discrepancy findings</x:v>
      </x:c>
      <x:c r="H40" s="16" t="str">
        <x:v>Wrong arrows, signs, states and formula frames block release</x:v>
      </x:c>
    </x:row>
    <x:row r="41" ht="66" customHeight="1">
      <x:c r="A41" s="16" t="n">
        <x:v>37</x:v>
      </x:c>
      <x:c r="B41" s="16" t="str">
        <x:v>examleaf-regression-qa</x:v>
      </x:c>
      <x:c r="C41" s="16" t="str">
        <x:v>QA</x:v>
      </x:c>
      <x:c r="D41" s="16" t="str">
        <x:v>P0</x:v>
      </x:c>
      <x:c r="E41" s="16" t="str">
        <x:v>Proposed; not implemented</x:v>
      </x:c>
      <x:c r="F41" s="16" t="str">
        <x:v>Golden scenes and dependency update</x:v>
      </x:c>
      <x:c r="G41" s="16" t="str">
        <x:v>Automated render / numeric / timing diffs</x:v>
      </x:c>
      <x:c r="H41" s="16" t="str">
        <x:v>Pinned baseline; change review; failures cannot self-approve</x:v>
      </x:c>
    </x:row>
    <x:row r="42" ht="66" customHeight="1">
      <x:c r="A42" s="16" t="n">
        <x:v>38</x:v>
      </x:c>
      <x:c r="B42" s="16" t="str">
        <x:v>examleaf-rights-security-release</x:v>
      </x:c>
      <x:c r="C42" s="16" t="str">
        <x:v>QA</x:v>
      </x:c>
      <x:c r="D42" s="16" t="str">
        <x:v>P0</x:v>
      </x:c>
      <x:c r="E42" s="16" t="str">
        <x:v>Proposed; not implemented</x:v>
      </x:c>
      <x:c r="F42" s="16" t="str">
        <x:v>Rights ledger, dependency BOM, human approvals</x:v>
      </x:c>
      <x:c r="G42" s="16" t="str">
        <x:v>Signed release manifest + publishing artifact</x:v>
      </x:c>
      <x:c r="H42" s="16" t="str">
        <x:v>Separate publish credential; no untrusted tool execution from PDFs</x:v>
      </x:c>
    </x:row>
    <x:row r="43" ht="66" customHeight="1">
      <x:c r="A43" s="16" t="n">
        <x:v>39</x:v>
      </x:c>
      <x:c r="B43" s="16" t="str">
        <x:v>examleaf-bulk-cost-ops</x:v>
      </x:c>
      <x:c r="C43" s="16" t="str">
        <x:v>Operations</x:v>
      </x:c>
      <x:c r="D43" s="16" t="str">
        <x:v>P1</x:v>
      </x:c>
      <x:c r="E43" s="16" t="str">
        <x:v>Proposed; not implemented</x:v>
      </x:c>
      <x:c r="F43" s="16" t="str">
        <x:v>Job usage, errors, provider availability</x:v>
      </x:c>
      <x:c r="G43" s="16" t="str">
        <x:v>Batch queue, spend forecast, lifecycle dashboard</x:v>
      </x:c>
      <x:c r="H43" s="16" t="str">
        <x:v>Deprecation checks, per-lesson budgets, kill switches, audit log</x:v>
      </x:c>
    </x:row>
    <x:row r="44" ht="66" customHeight="1">
      <x:c r="A44" s="16" t="n">
        <x:v>40</x:v>
      </x:c>
      <x:c r="B44" s="16" t="str">
        <x:v>examleaf-learning-evaluation</x:v>
      </x:c>
      <x:c r="C44" s="16" t="str">
        <x:v>Evaluation</x:v>
      </x:c>
      <x:c r="D44" s="16" t="str">
        <x:v>P1</x:v>
      </x:c>
      <x:c r="E44" s="16" t="str">
        <x:v>Proposed; not implemented</x:v>
      </x:c>
      <x:c r="F44" s="16" t="str">
        <x:v>Consent-aware pilot data and assessment items</x:v>
      </x:c>
      <x:c r="G44" s="16" t="str">
        <x:v>Immediate / delayed / transfer / confidence-calibration report</x:v>
      </x:c>
      <x:c r="H44" s="16" t="str">
        <x:v>Do not optimize watch time at the expense of independent learning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ced7fc3c40417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70" hidden="0" customWidth="1"/>
    <x:col min="3" max="3" width="55" hidden="0" customWidth="1"/>
    <x:col min="4" max="4" width="85" hidden="0" customWidth="1"/>
    <x:col min="5" max="5" width="66" hidden="0" customWidth="1"/>
    <x:col min="6" max="6" width="95" hidden="0" customWidth="1"/>
  </x:cols>
  <x:sheetData>
    <x:row r="1" ht="36" customHeight="1">
      <x:c r="A1" s="3" t="str">
        <x:v>EXAMLEAF | EXISTING SKILLS</x:v>
      </x:c>
      <x:c r="B1" s="3"/>
      <x:c r="C1" s="3"/>
      <x:c r="D1" s="3"/>
      <x:c r="E1" s="3"/>
      <x:c r="F1" s="3"/>
    </x:row>
    <x:row r="2" ht="40" customHeight="1">
      <x:c r="A2" s="7" t="str">
        <x:v>Verified resources are starting points, not automatically safe or correct for school science. Pin reviewed commits and maintain negative tests.</x:v>
      </x:c>
      <x:c r="B2" s="7"/>
      <x:c r="C2" s="7"/>
      <x:c r="D2" s="7"/>
      <x:c r="E2" s="7"/>
      <x:c r="F2" s="7"/>
    </x:row>
    <x:row r="4" ht="28" customHeight="1">
      <x:c r="A4" s="12" t="str">
        <x:v>Maintainer</x:v>
      </x:c>
      <x:c r="B4" s="12" t="str">
        <x:v>Selected existing resources</x:v>
      </x:c>
      <x:c r="C4" s="12" t="str">
        <x:v>Use</x:v>
      </x:c>
      <x:c r="D4" s="12" t="str">
        <x:v>Caveat / licensing</x:v>
      </x:c>
      <x:c r="E4" s="12" t="str">
        <x:v>Repository / docs</x:v>
      </x:c>
      <x:c r="F4" s="12" t="str">
        <x:v>Verified manifest / example</x:v>
      </x:c>
    </x:row>
    <x:row r="5" ht="98" customHeight="1">
      <x:c r="A5" s="16" t="str">
        <x:v>HyperFrames official</x:v>
      </x:c>
      <x:c r="B5" s="16" t="str">
        <x:v>hyperframes; hyperframes-core; hyperframes-animation; hyperframes-keyframes; hyperframes-cli; hyperframes-audio; hyperframes-registry; hyperframes-studio</x:v>
      </x:c>
      <x:c r="C5" s="16" t="str">
        <x:v>Primary engine guidance; load only relevant Skills</x:v>
      </x:c>
      <x:c r="D5" s="16" t="str">
        <x:v>21 entries in checked manifest; repo Apache-2.0, dependency and asset licenses separate</x:v>
      </x:c>
      <x:c r="E5" s="16" t="str">
        <x:v>https://github.com/heygen-com/hyperframes</x:v>
      </x:c>
      <x:c r="F5" s="16" t="str">
        <x:v>https://raw.githubusercontent.com/heygen-com/hyperframes/main/skills-manifest.json</x:v>
      </x:c>
    </x:row>
    <x:row r="6" ht="98" customHeight="1">
      <x:c r="A6" s="16" t="str">
        <x:v>Remotion official</x:v>
      </x:c>
      <x:c r="B6" s="16" t="str">
        <x:v>remotion-best-practices; remotion-create; remotion-render; remotion-captions; remotion-multimedia; remotion-docs</x:v>
      </x:c>
      <x:c r="C6" s="16" t="str">
        <x:v>Alternative React renderer, not a second default engine</x:v>
      </x:c>
      <x:c r="D6" s="16" t="str">
        <x:v>12 entries in checked Skills README; runtime pricing is separate from Skill availability</x:v>
      </x:c>
      <x:c r="E6" s="16" t="str">
        <x:v>https://github.com/remotion-dev/skills</x:v>
      </x:c>
      <x:c r="F6" s="16" t="str">
        <x:v>https://raw.githubusercontent.com/remotion-dev/skills/main/README.md</x:v>
      </x:c>
    </x:row>
    <x:row r="7" ht="98" customHeight="1">
      <x:c r="A7" s="16" t="str">
        <x:v>Anthropic official</x:v>
      </x:c>
      <x:c r="B7" s="16" t="str">
        <x:v>skill-creator; webapp-testing</x:v>
      </x:c>
      <x:c r="C7" s="16" t="str">
        <x:v>Skill evaluation and web preview testing</x:v>
      </x:c>
      <x:c r="D7" s="16" t="str">
        <x:v>Repository contains mixed terms: many Apache-2.0 Skills; document Skills are source-available, not blanket Apache-2.0</x:v>
      </x:c>
      <x:c r="E7" s="16" t="str">
        <x:v>https://github.com/anthropics/skills</x:v>
      </x:c>
      <x:c r="F7" s="16" t="str">
        <x:v>https://raw.githubusercontent.com/anthropics/skills/main/README.md</x:v>
      </x:c>
    </x:row>
    <x:row r="8" ht="98" customHeight="1">
      <x:c r="A8" s="16" t="str">
        <x:v>OpenAI official</x:v>
      </x:c>
      <x:c r="B8" s="16" t="str">
        <x:v>playwright; speech</x:v>
      </x:c>
      <x:c r="C8" s="16" t="str">
        <x:v>Browser testing patterns; adapt speech workflow rather than copying defaults</x:v>
      </x:c>
      <x:c r="D8" s="16" t="str">
        <x:v>Individual Skill licenses; checked speech Skill defaults to a model now marked deprecated</x:v>
      </x:c>
      <x:c r="E8" s="16" t="str">
        <x:v>https://github.com/openai/skills</x:v>
      </x:c>
      <x:c r="F8" s="16" t="str">
        <x:v>https://raw.githubusercontent.com/openai/skills/main/skills/.curated/speech/SKILL.md</x:v>
      </x:c>
    </x:row>
    <x:row r="9" ht="98" customHeight="1">
      <x:c r="A9" s="16" t="str">
        <x:v>K-Dense community</x:v>
      </x:c>
      <x:c r="B9" s="16" t="str">
        <x:v>sympy and selected RDKit / Biopython / scientific-visualization guidance</x:v>
      </x:c>
      <x:c r="C9" s="16" t="str">
        <x:v>Scientific package usage; supplement, not replace correctness tests</x:v>
      </x:c>
      <x:c r="D9" s="16" t="str">
        <x:v>Repository advertises 177 Skills; review individual Skill license fields and code before adopting</x:v>
      </x:c>
      <x:c r="E9" s="16" t="str">
        <x:v>https://github.com/K-Dense-AI/scientific-agent-skills</x:v>
      </x:c>
      <x:c r="F9" s="16" t="str">
        <x:v>https://raw.githubusercontent.com/K-Dense-AI/scientific-agent-skills/main/skills/sympy/SKILL.md</x:v>
      </x:c>
    </x:row>
    <x:row r="10" ht="98" customHeight="1">
      <x:c r="A10" s="16" t="str">
        <x:v>Manim Community</x:v>
      </x:c>
      <x:c r="B10" s="16" t="str">
        <x:v>Official API docs; manim-voiceover plugin</x:v>
      </x:c>
      <x:c r="C10" s="16" t="str">
        <x:v>Author custom ExamLeaf adapter against pinned official APIs</x:v>
      </x:c>
      <x:c r="D10" s="16" t="str">
        <x:v>No first-party general-purpose Claude Skill verified in this review; plugin is not itself an agent Skill</x:v>
      </x:c>
      <x:c r="E10" s="16" t="str">
        <x:v>https://docs.manim.community/en/stable/</x:v>
      </x:c>
      <x:c r="F10" s="16" t="str">
        <x:v>https://github.com/ManimCommunity/manim-voiceover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4d4f6a34264d6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20" hidden="0" customWidth="1"/>
  </x:cols>
  <x:sheetData>
    <x:row r="1" ht="36" customHeight="1">
      <x:c r="A1" s="3" t="str">
        <x:v>EXAMLEAF | RESEARCH &amp; PLANNING MODEL</x:v>
      </x:c>
      <x:c r="B1" s="3"/>
    </x:row>
    <x:row r="2" ht="40" customHeight="1">
      <x:c r="A2" s="7" t="str">
        <x:v>Research date: 13 October 2026. This workbook is an editable planning artifact, not a benchmark, purchasing quote or deployed production system.</x:v>
      </x:c>
      <x:c r="B2" s="7"/>
    </x:row>
    <x:row r="4" ht="28" customHeight="1">
      <x:c r="A4" s="12" t="str">
        <x:v>Topic</x:v>
      </x:c>
      <x:c r="B4" s="12" t="str">
        <x:v>Guidance</x:v>
      </x:c>
    </x:row>
    <x:row r="5" ht="55" customHeight="1">
      <x:c r="A5" s="72" t="str">
        <x:v>Recommended baseline</x:v>
      </x:c>
      <x:c r="B5" s="16" t="str">
        <x:v>HyperFrames + SVG/KaTeX/GSAP + Python science checks + selective Manim + FFmpeg. Remotion is the React alternative. Keep source data renderer-independent.</x:v>
      </x:c>
    </x:row>
    <x:row r="6" ht="55" customHeight="1">
      <x:c r="A6" s="72" t="str">
        <x:v>How to use</x:v>
      </x:c>
      <x:c r="B6" s="16" t="str">
        <x:v>Edit blue Inputs cells. UnitCosts and Volumes recalculate. Sources are recorded alongside every raw input. USD before tax; no live currency conversion assumed.</x:v>
      </x:c>
    </x:row>
    <x:row r="7" ht="55" customHeight="1">
      <x:c r="A7" s="72" t="str">
        <x:v>Verified prices versus estimates</x:v>
      </x:c>
      <x:c r="B7" s="16" t="str">
        <x:v>Provider token, voice, storage, CPU/RAM and Remotion prices are cited. Token budgets, render duration, staffing rates and setup effort are assumptions requiring pilot measurements.</x:v>
      </x:c>
    </x:row>
    <x:row r="8" ht="55" customHeight="1">
      <x:c r="A8" s="72" t="str">
        <x:v>Scientific approval</x:v>
      </x:c>
      <x:c r="B8" s="16" t="str">
        <x:v>Every released lesson requires academic approval of the source/claim/script package and review of the entire final rendered lesson. Model agreement is not proof.</x:v>
      </x:c>
    </x:row>
    <x:row r="9" ht="55" customHeight="1">
      <x:c r="A9" s="72" t="str">
        <x:v>No benchmark claim</x:v>
      </x:c>
      <x:c r="B9" s="16" t="str">
        <x:v>No candidate renderer, voice, locale or model was benchmarked or auditioned as part of this report. Run a representative pilot before committing.</x:v>
      </x:c>
    </x:row>
    <x:row r="10" ht="55" customHeight="1">
      <x:c r="A10" s="72" t="str">
        <x:v>Volumes comparison</x:v>
      </x:c>
      <x:c r="B10" s="16" t="str">
        <x:v>1, 100 and 1,000 videos are compared over the same editable accounting period. Fixed cost is not multiplied per video. Staff capacity is shown explicitly.</x:v>
      </x:c>
    </x:row>
    <x:row r="11" ht="55" customHeight="1">
      <x:c r="A11" s="72" t="str">
        <x:v>Excluded / additional costs</x:v>
      </x:c>
      <x:c r="B11" s="16" t="str">
        <x:v>Taxes, rights purchases, playback product development, heavy bespoke 3D, source cleanup, additional languages, and engineering beyond the maintenance allowance require separate budgets.</x:v>
      </x:c>
    </x:row>
    <x:row r="12" ht="55" customHeight="1">
      <x:c r="A12" s="72" t="str">
        <x:v>Remotion option</x:v>
      </x:c>
      <x:c r="B12" s="16" t="str">
        <x:v>Paid licensing is disabled in the HyperFrames baseline. Toggle only when the organization and usage need it. Confirm what counts as a billable partial render or still.</x:v>
      </x:c>
    </x:row>
    <x:row r="13" ht="55" customHeight="1">
      <x:c r="A13" s="72" t="str">
        <x:v>Storage / compute scope</x:v>
      </x:c>
      <x:c r="B13" s="16" t="str">
        <x:v>Fargate is a US East rate example, not Mumbai pricing. Render time is an estimate. Storage assumes 2 GB per video for one month; prolonged retention compounds.</x:v>
      </x:c>
    </x:row>
    <x:row r="14" ht="55" customHeight="1">
      <x:c r="A14" s="72" t="str">
        <x:v>TTS scope</x:v>
      </x:c>
      <x:c r="B14" s="16" t="str">
        <x:v>8,000 narration characters plus 20% regeneration, regular ElevenLabs Multilingual v2 price. Character counts and pronunciation review differ by locale.</x:v>
      </x:c>
    </x:row>
    <x:row r="15" ht="55" customHeight="1">
      <x:c r="A15" s="72" t="str">
        <x:v>Assamese localization gate</x:v>
      </x:c>
      <x:c r="B15" s="16" t="str">
        <x:v>Do not infer locale support from marketing. Verify the exact model API enum and perform native-speaker review. Sarvam marketing and model-specific lists were inconsistent.</x:v>
      </x:c>
    </x:row>
    <x:row r="16" ht="55" customHeight="1">
      <x:c r="A16" s="72" t="str">
        <x:v>Skills inventory</x:v>
      </x:c>
      <x:c r="B16" s="16" t="str">
        <x:v>40 proposed custom Skills are marked as not implemented. Existing Skills are curated references; do not install entire repositories without license/security review.</x:v>
      </x:c>
    </x:row>
    <x:row r="17" ht="55" customHeight="1">
      <x:c r="A17" s="72" t="str">
        <x:v>Deprecation gate</x:v>
      </x:c>
      <x:c r="B17" s="16" t="str">
        <x:v>Check model availability and pinned Skill defaults before deployment. The checked OpenAI speech Skill used a TTS model whose model card was marked deprecated.</x:v>
      </x:c>
    </x:row>
    <x:row r="18" ht="55" customHeight="1">
      <x:c r="A18" s="72" t="str">
        <x:v>Implementation budget</x:v>
      </x:c>
      <x:c r="B18" s="16" t="str">
        <x:v>$8,000 is an illustrative 320-hour initial build/template budget. This is not a promise of a mature system at that price.</x:v>
      </x:c>
    </x:row>
    <x:row r="19" ht="55" customHeight="1">
      <x:c r="A19" s="72" t="str">
        <x:v>Learning outcomes</x:v>
      </x:c>
      <x:c r="B19" s="16" t="str">
        <x:v>Evaluate unprompted solving, delayed recall, transfer and confidence calibration. Completion/watch time is a secondary measure.</x:v>
      </x:c>
    </x:row>
    <x:row r="20" ht="55" customHeight="1">
      <x:c r="A20" s="72" t="str">
        <x:v>Source retention</x:v>
      </x:c>
      <x:c r="B20" s="16" t="str">
        <x:v>Keep source URLs, retrieval dates, license snapshots, dependency lockfiles and benchmark receipts with the release manifest.</x:v>
      </x:c>
    </x:row>
  </x:sheetData>
  <x:mergeCells>
    <x:mergeCell ref="A1:B1"/>
    <x:mergeCell ref="A2:B2"/>
  </x:mergeCells>
  <x:pageMargins left="0.7" right="0.7" top="0.75" bottom="0.75" header="0.3" footer="0.3"/>
</x:worksheet>
</file>